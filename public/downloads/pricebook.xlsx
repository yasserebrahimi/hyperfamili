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7f98684750e4f8c" /></Relationships>
</file>

<file path=xl/workbook.xml><?xml version="1.0" encoding="utf-8"?>
<x:workbook xmlns:x="http://schemas.openxmlformats.org/spreadsheetml/2006/main">
  <x:sheets>
    <x:sheet xmlns:r="http://schemas.openxmlformats.org/officeDocument/2006/relationships" name="راهنما" sheetId="1" r:id="R4315e047410c428e"/>
    <x:sheet xmlns:r="http://schemas.openxmlformats.org/officeDocument/2006/relationships" name="مدل هزینه" sheetId="2" r:id="R06181ad932cd4d9c"/>
    <x:sheet xmlns:r="http://schemas.openxmlformats.org/officeDocument/2006/relationships" name="طرح‌ها" sheetId="3" r:id="Re24d53d4029d432e"/>
    <x:sheet xmlns:r="http://schemas.openxmlformats.org/officeDocument/2006/relationships" name="قیمت‌ها" sheetId="4" r:id="R349c694d1e4b4111"/>
    <x:sheet xmlns:r="http://schemas.openxmlformats.org/officeDocument/2006/relationships" name="منابع" sheetId="5" r:id="R1d8c4298c8234cec"/>
    <x:sheet xmlns:r="http://schemas.openxmlformats.org/officeDocument/2006/relationships" name="پژوهش‌ها" sheetId="6" r:id="Ref4806b532254492"/>
    <x:sheet xmlns:r="http://schemas.openxmlformats.org/officeDocument/2006/relationships" name="مخزن‌ها" sheetId="7" r:id="R688fc605a7e5435f"/>
  </x:sheets>
</x:workbook>
</file>

<file path=xl/comments1.xml><?xml version="1.0" encoding="utf-8"?>
<x:comments xmlns:x="http://schemas.openxmlformats.org/spreadsheetml/2006/main">
  <x:authors>
    <x:author>tc={CA1929EC-03E4-4839-B3C9-B2CD6FF81471}</x:author>
    <x:author>tc={6FC63F2F-5C63-4514-9F9E-5BC5A0BEA7DC}</x:author>
    <x:author>tc={F508F89E-5758-4A49-A414-395A12004323}</x:author>
    <x:author>tc={94BEC265-C47A-4E04-85E0-613D8397A379}</x:author>
    <x:author>tc={0B57FA0F-D49F-4E2F-90A9-EF48319E09C0}</x:author>
    <x:author>tc={7E60860E-E9D4-46DD-B9C2-F583F1833836}</x:author>
    <x:author>tc={E9E39457-7907-4234-B635-257A129A081E}</x:author>
    <x:author>tc={67E3B3DF-E7E8-4EA8-BD14-7DE56C7659C1}</x:author>
    <x:author>tc={19EB21AD-7F36-4126-AC49-67887C4D964B}</x:author>
    <x:author>tc={C744A6F8-C69D-4C5A-90CB-14FEE85D6A1A}</x:author>
    <x:author>tc={C1C6A264-1A85-4DB3-9F55-BF7DFE11B9AA}</x:author>
    <x:author>tc={EF0BF788-9B20-4D91-8D98-8A0A210E78B2}</x:author>
    <x:author>tc={6A389E90-6E5C-4B8A-AD1D-C4073C8AA39F}</x:author>
    <x:author>tc={0AA4E7B8-24E7-4342-AB2B-E51C9F177677}</x:author>
    <x:author>tc={FF9F85DA-391F-4885-B682-60A9B104ECDF}</x:author>
    <x:author>tc={B0354199-B73C-4D7A-BCBB-29EBF2754FB7}</x:author>
    <x:author>tc={42BBF817-233C-4575-ACBA-E60AC2294B99}</x:author>
    <x:author>tc={25EE9B3A-EE98-4D27-8503-7AC66507C70E}</x:author>
    <x:author>tc={DD4D2679-6782-4761-AFA4-4BF5CC2D55CF}</x:author>
    <x:author>tc={1E1E5438-D5F1-4B4A-AF76-9F03CEBD736E}</x:author>
    <x:author>tc={DFAEC135-06B2-4778-B7E5-7423C5522420}</x:author>
    <x:author>tc={6BB07F61-1026-4AA9-B678-CB2116373876}</x:author>
    <x:author>tc={9C7C7F74-C077-4BB6-B95A-62C4741B858C}</x:author>
    <x:author>tc={AC6116E7-11EF-43C6-BAC3-A4AD205F3292}</x:author>
    <x:author>tc={6326657C-DE7F-413F-918A-C7562A88B8EC}</x:author>
  </x:authors>
  <x:commentList>
    <x:comment ref="B6" authorId="0">
      <x:text>
        <x:r>
          <x:t>[Threaded comment]
Your version of Excel allows you to read this threaded comment; however, any edits to it will get removed if the file is opened in a newer version of Excel. Learn more: https://go.microsoft.com/fwlink/?linkid=870924
Comment:
    فرض حساسیت تحلیلگر: ۶۰۰هزار تومان/نفرساعت؛ نه تعرفه مصوب، نه نرخ بازار و نه پیش‌فاکتور. با نرخ واقعی تیم جایگزین شود.</x:t>
        </x:r>
      </x:text>
    </x:comment>
    <x:comment ref="B7" authorId="1">
      <x:text>
        <x:r>
          <x:t>[Threaded comment]
Your version of Excel allows you to read this threaded comment; however, any edits to it will get removed if the file is opened in a newer version of Excel. Learn more: https://go.microsoft.com/fwlink/?linkid=870924
Comment:
    ورودی صرفاً سناریویی تحلیلگر؛ مقدار از تعرفه رسمی یا پیمایش قیمت پیمانکار استخراج نشده. عدد قابل‌تغییر و خارج از قیمت دستگاه/مجوز/بهره‌برداری است.</x:t>
        </x:r>
      </x:text>
    </x:comment>
    <x:comment ref="B8" authorId="2">
      <x:text>
        <x:r>
          <x:t>[Threaded comment]
Your version of Excel allows you to read this threaded comment; however, any edits to it will get removed if the file is opened in a newer version of Excel. Learn more: https://go.microsoft.com/fwlink/?linkid=870924
Comment:
    ورودی صرفاً سناریویی تحلیلگر؛ مقدار از تعرفه رسمی یا پیمایش قیمت پیمانکار استخراج نشده. عدد قابل‌تغییر و خارج از قیمت دستگاه/مجوز/بهره‌برداری است.</x:t>
        </x:r>
      </x:text>
    </x:comment>
    <x:comment ref="B9" authorId="3">
      <x:text>
        <x:r>
          <x:t>[Threaded comment]
Your version of Excel allows you to read this threaded comment; however, any edits to it will get removed if the file is opened in a newer version of Excel. Learn more: https://go.microsoft.com/fwlink/?linkid=870924
Comment:
    عمداً خالی: مقدار معتبر با تاریخ، منبع و دامنه مشخص دریافت نشده است. صفر فرض نشود.</x:t>
        </x:r>
      </x:text>
    </x:comment>
    <x:comment ref="B10" authorId="4">
      <x:text>
        <x:r>
          <x:t>[Threaded comment]
Your version of Excel allows you to read this threaded comment; however, any edits to it will get removed if the file is opened in a newer version of Excel. Learn more: https://go.microsoft.com/fwlink/?linkid=870924
Comment:
    عمداً خالی: مقدار معتبر با تاریخ، منبع و دامنه مشخص دریافت نشده است. صفر فرض نشود.</x:t>
        </x:r>
      </x:text>
    </x:comment>
    <x:comment ref="B11" authorId="5">
      <x:text>
        <x:r>
          <x:t>[Threaded comment]
Your version of Excel allows you to read this threaded comment; however, any edits to it will get removed if the file is opened in a newer version of Excel. Learn more: https://go.microsoft.com/fwlink/?linkid=870924
Comment:
    عمداً خالی: مقدار معتبر با تاریخ، منبع و دامنه مشخص دریافت نشده است. صفر فرض نشود.</x:t>
        </x:r>
      </x:text>
    </x:comment>
    <x:comment ref="C22" authorId="6">
      <x:text>
        <x:r>
          <x:t>[Threaded comment]
Your version of Excel allows you to read this threaded comment; however, any edits to it will get removed if the file is opened in a newer version of Excel. Learn more: https://go.microsoft.com/fwlink/?linkid=870924
Comment:
    https://www.solum-group.com/us/en/resources/business-cases/insight-detail.retail.are-electronic-shelf-labels-expensive
بازه عمومی سازنده بدون مدل دقیق، نه پیش‌فاکتور. عبارت هزینه منظم۵۰۰دلار مدت ندارد و استفاده مالی نشده.</x:t>
        </x:r>
      </x:text>
    </x:comment>
    <x:comment ref="D22" authorId="7">
      <x:text>
        <x:r>
          <x:t>[Threaded comment]
Your version of Excel allows you to read this threaded comment; however, any edits to it will get removed if the file is opened in a newer version of Excel. Learn more: https://go.microsoft.com/fwlink/?linkid=870924
Comment:
    https://www.solum-group.com/us/en/resources/business-cases/insight-detail.retail.are-electronic-shelf-labels-expensive
بازه عمومی سازنده بدون مدل دقیق، نه پیش‌فاکتور. عبارت هزینه منظم۵۰۰دلار مدت ندارد و استفاده مالی نشده.</x:t>
        </x:r>
      </x:text>
    </x:comment>
    <x:comment ref="B22" authorId="8">
      <x:text>
        <x:r>
          <x:t>[Threaded comment]
Your version of Excel allows you to read this threaded comment; however, any edits to it will get removed if the file is opened in a newer version of Excel. Learn more: https://go.microsoft.com/fwlink/?linkid=870924
Comment:
    تعداد/دامنه مثال تحلیلی است؛ تعداد مصوب خرید فامیلی نیست.</x:t>
        </x:r>
      </x:text>
    </x:comment>
    <x:comment ref="C23" authorId="9">
      <x:text>
        <x:r>
          <x:t>[Threaded comment]
Your version of Excel allows you to read this threaded comment; however, any edits to it will get removed if the file is opened in a newer version of Excel. Learn more: https://go.microsoft.com/fwlink/?linkid=870924
Comment:
    https://www.yodeck.com/pricing/
USD از ارزهای دیگر جدا استخراج شد. پلیر رایگان در مسیر سالانه شروط دارد؛ نمایشگر نیست. ۱نمایشگر رایگان با پنج نمایشگر آزمایشی تفاوت دارد.</x:t>
        </x:r>
      </x:text>
    </x:comment>
    <x:comment ref="D23" authorId="10">
      <x:text>
        <x:r>
          <x:t>[Threaded comment]
Your version of Excel allows you to read this threaded comment; however, any edits to it will get removed if the file is opened in a newer version of Excel. Learn more: https://go.microsoft.com/fwlink/?linkid=870924
Comment:
    https://www.yodeck.com/pricing/
USD از ارزهای دیگر جدا استخراج شد. پلیر رایگان در مسیر سالانه شروط دارد؛ نمایشگر نیست. ۱نمایشگر رایگان با پنج نمایشگر آزمایشی تفاوت دارد.</x:t>
        </x:r>
      </x:text>
    </x:comment>
    <x:comment ref="B23" authorId="11">
      <x:text>
        <x:r>
          <x:t>[Threaded comment]
Your version of Excel allows you to read this threaded comment; however, any edits to it will get removed if the file is opened in a newer version of Excel. Learn more: https://go.microsoft.com/fwlink/?linkid=870924
Comment:
    تعداد/دامنه مثال تحلیلی است؛ تعداد مصوب خرید فامیلی نیست.</x:t>
        </x:r>
      </x:text>
    </x:comment>
    <x:comment ref="C24" authorId="12">
      <x:text>
        <x:r>
          <x:t>[Threaded comment]
Your version of Excel allows you to read this threaded comment; however, any edits to it will get removed if the file is opened in a newer version of Excel. Learn more: https://go.microsoft.com/fwlink/?linkid=870924
Comment:
    https://atency.com/
ثبت حضور و شیفت پایه؛ معادل برنامه‌ریزی بهینه و منصفانه تقاضامحور کل شبکه نیست. محدوده خدمت باید تطبیق داده شود.</x:t>
        </x:r>
      </x:text>
    </x:comment>
    <x:comment ref="D24" authorId="13">
      <x:text>
        <x:r>
          <x:t>[Threaded comment]
Your version of Excel allows you to read this threaded comment; however, any edits to it will get removed if the file is opened in a newer version of Excel. Learn more: https://go.microsoft.com/fwlink/?linkid=870924
Comment:
    https://atency.com/
ثبت حضور و شیفت پایه؛ معادل برنامه‌ریزی بهینه و منصفانه تقاضامحور کل شبکه نیست. محدوده خدمت باید تطبیق داده شود.</x:t>
        </x:r>
      </x:text>
    </x:comment>
    <x:comment ref="B24" authorId="14">
      <x:text>
        <x:r>
          <x:t>[Threaded comment]
Your version of Excel allows you to read this threaded comment; however, any edits to it will get removed if the file is opened in a newer version of Excel. Learn more: https://go.microsoft.com/fwlink/?linkid=870924
Comment:
    تعداد/دامنه مثال تحلیلی است؛ تعداد مصوب خرید فامیلی نیست.</x:t>
        </x:r>
      </x:text>
    </x:comment>
    <x:comment ref="C25" authorId="15">
      <x:text>
        <x:r>
          <x:t>[Threaded comment]
Your version of Excel allows you to read this threaded comment; however, any edits to it will get removed if the file is opened in a newer version of Excel. Learn more: https://go.microsoft.com/fwlink/?linkid=870924
Comment:
    https://www.robotlab.com/store/category/cleaning/
خرید از / RaaS۳۶ماهه؛ گزینه‌های جایگزین‌اند، نه جمع‌شونده. خدمات ایران احراز نشده.</x:t>
        </x:r>
      </x:text>
    </x:comment>
    <x:comment ref="D25" authorId="16">
      <x:text>
        <x:r>
          <x:t>[Threaded comment]
Your version of Excel allows you to read this threaded comment; however, any edits to it will get removed if the file is opened in a newer version of Excel. Learn more: https://go.microsoft.com/fwlink/?linkid=870924
Comment:
    https://www.robotlab.com/store/category/cleaning/
خرید از / RaaS۳۶ماهه؛ گزینه‌های جایگزین‌اند، نه جمع‌شونده. خدمات ایران احراز نشده.</x:t>
        </x:r>
      </x:text>
    </x:comment>
    <x:comment ref="B25" authorId="17">
      <x:text>
        <x:r>
          <x:t>[Threaded comment]
Your version of Excel allows you to read this threaded comment; however, any edits to it will get removed if the file is opened in a newer version of Excel. Learn more: https://go.microsoft.com/fwlink/?linkid=870924
Comment:
    تعداد/دامنه مثال تحلیلی است؛ تعداد مصوب خرید فامیلی نیست.</x:t>
        </x:r>
      </x:text>
    </x:comment>
    <x:comment ref="C26" authorId="18">
      <x:text>
        <x:r>
          <x:t>[Threaded comment]
Your version of Excel allows you to read this threaded comment; however, any edits to it will get removed if the file is opened in a newer version of Excel. Learn more: https://go.microsoft.com/fwlink/?linkid=870924
Comment:
    https://payapars.com/shop/page/3/
قیمت تجهیز در کاتالوگ عمومی؛ موجودی، شرایط تحویل و اعتبار معامله نیازمند استعلام.</x:t>
        </x:r>
      </x:text>
    </x:comment>
    <x:comment ref="D26" authorId="19">
      <x:text>
        <x:r>
          <x:t>[Threaded comment]
Your version of Excel allows you to read this threaded comment; however, any edits to it will get removed if the file is opened in a newer version of Excel. Learn more: https://go.microsoft.com/fwlink/?linkid=870924
Comment:
    https://payapars.com/shop/page/2/
قیمت تجهیز در کاتالوگ عمومی؛ موجودی، شرایط تحویل و اعتبار معامله نیازمند استعلام.</x:t>
        </x:r>
      </x:text>
    </x:comment>
    <x:comment ref="C15" authorId="20">
      <x:text>
        <x:r>
          <x:t>[Threaded comment]
Your version of Excel allows you to read this threaded comment; however, any edits to it will get removed if the file is opened in a newer version of Excel. Learn more: https://go.microsoft.com/fwlink/?linkid=870924
Comment:
    شکست کار پیشنهادی تحلیلگر برای دامنه محدود؛ مبنا در فایل 13-benchmarks-prices/cost-model.md. زمان‌سنجی انجام نشده و سقف تعهد نیست.</x:t>
        </x:r>
      </x:text>
    </x:comment>
    <x:comment ref="C16" authorId="21">
      <x:text>
        <x:r>
          <x:t>[Threaded comment]
Your version of Excel allows you to read this threaded comment; however, any edits to it will get removed if the file is opened in a newer version of Excel. Learn more: https://go.microsoft.com/fwlink/?linkid=870924
Comment:
    شکست کار پیشنهادی تحلیلگر برای دامنه محدود؛ مبنا در فایل 13-benchmarks-prices/cost-model.md. زمان‌سنجی انجام نشده و سقف تعهد نیست.</x:t>
        </x:r>
      </x:text>
    </x:comment>
    <x:comment ref="C17" authorId="22">
      <x:text>
        <x:r>
          <x:t>[Threaded comment]
Your version of Excel allows you to read this threaded comment; however, any edits to it will get removed if the file is opened in a newer version of Excel. Learn more: https://go.microsoft.com/fwlink/?linkid=870924
Comment:
    شکست کار پیشنهادی تحلیلگر برای دامنه محدود؛ مبنا در فایل 13-benchmarks-prices/cost-model.md. زمان‌سنجی انجام نشده و سقف تعهد نیست.</x:t>
        </x:r>
      </x:text>
    </x:comment>
    <x:comment ref="C18" authorId="23">
      <x:text>
        <x:r>
          <x:t>[Threaded comment]
Your version of Excel allows you to read this threaded comment; however, any edits to it will get removed if the file is opened in a newer version of Excel. Learn more: https://go.microsoft.com/fwlink/?linkid=870924
Comment:
    شکست کار پیشنهادی تحلیلگر برای دامنه محدود؛ مبنا در فایل 13-benchmarks-prices/cost-model.md. زمان‌سنجی انجام نشده و سقف تعهد نیست.</x:t>
        </x:r>
      </x:text>
    </x:comment>
    <x:comment ref="E24" authorId="24">
      <x:text>
        <x:r>
          <x:t>[Threaded comment]
Your version of Excel allows you to read this threaded comment; however, any edits to it will get removed if the file is opened in a newer version of Excel. Learn more: https://go.microsoft.com/fwlink/?linkid=870924
Comment:
    ۸۴میلیون تومان از ۲۰۰×۳۵۰۰۰×۱۲ بر مبنای نرخ ماهانه بدون تخفیف محاسبه شده است. صفحه تخفیف تبلیغ‌شده سالانه نیز دارد؛ برای قیمت واقعی قرارداد تأیید شود. https://atency.com/</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7">
    <x:numFmt numFmtId="200" formatCode="#,##0"/>
    <x:numFmt numFmtId="201" formatCode="#,##0.0"/>
    <x:numFmt numFmtId="202" formatCode="#,##0.00"/>
    <x:numFmt numFmtId="203" formatCode="#,##0;[Red](#,##0);–"/>
    <x:numFmt numFmtId="204" formatCode="#,##0.0;[Red](#,##0.0);–"/>
    <x:numFmt numFmtId="205" formatCode="#,##0.00;[Red](#,##0.00);–"/>
    <x:numFmt numFmtId="206" formatCode="yyyy-mm-dd"/>
  </x:numFmts>
  <x:fonts count="9">
    <x:font>
      <x:sz val="11"/>
      <x:name val="Carlito"/>
    </x:font>
    <x:font>
      <x:sz val="11"/>
      <x:name val="Arial"/>
    </x:font>
    <x:font>
      <x:b/>
      <x:sz val="17"/>
      <x:color rgb="FFFFFFFF"/>
      <x:name val="Arial"/>
    </x:font>
    <x:font>
      <x:sz val="11"/>
      <x:color rgb="FF654600"/>
      <x:name val="Arial"/>
    </x:font>
    <x:font>
      <x:b/>
      <x:sz val="11"/>
      <x:color rgb="FFFFFFFF"/>
      <x:name val="Arial"/>
    </x:font>
    <x:font>
      <x:sz val="11"/>
      <x:color rgb="FF0000CC"/>
      <x:name val="Arial"/>
    </x:font>
    <x:font>
      <x:sz val="11"/>
      <x:color rgb="FF0000FF"/>
      <x:name val="Arial"/>
    </x:font>
    <x:font>
      <x:sz val="11"/>
      <x:color rgb="FF000000"/>
      <x:name val="Arial"/>
    </x:font>
    <x:font>
      <x:sz val="11"/>
      <x:color rgb="FF008000"/>
      <x:name val="Arial"/>
    </x:font>
  </x:fonts>
  <x:fills count="6">
    <x:fill>
      <x:patternFill patternType="none"/>
    </x:fill>
    <x:fill>
      <x:patternFill patternType="gray125"/>
    </x:fill>
    <x:fill>
      <x:patternFill patternType="solid">
        <x:fgColor rgb="FF17324D"/>
      </x:patternFill>
    </x:fill>
    <x:fill>
      <x:patternFill patternType="solid">
        <x:fgColor rgb="FFFFF1CC"/>
      </x:patternFill>
    </x:fill>
    <x:fill>
      <x:patternFill patternType="solid">
        <x:fgColor rgb="FF126C73"/>
      </x:patternFill>
    </x:fill>
    <x:fill>
      <x:patternFill patternType="solid">
        <x:fgColor rgb="FFE8F2FF"/>
      </x:patternFill>
    </x:fill>
  </x:fills>
  <x:borders count="2">
    <x:border/>
    <x:border/>
  </x:borders>
  <x:cellStyleXfs count="1">
    <x:xf numFmtId="0" fontId="0" fillId="0" borderId="0"/>
  </x:cellStyleXfs>
  <x:cellXfs count="7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horizontal="right"/>
    </x:xf>
    <x:xf numFmtId="0" fontId="1" fillId="0" borderId="1" xfId="0" applyNumberFormat="1" applyFont="1" applyFill="1" applyBorder="1" applyAlignment="1">
      <x:alignment horizontal="right"/>
    </x:xf>
    <x:xf numFmtId="0" fontId="1" fillId="0" borderId="0" xfId="0" applyNumberFormat="1" applyFont="1" applyFill="1" applyBorder="1" applyAlignment="1">
      <x:alignment horizontal="right" vertical="center"/>
    </x:xf>
    <x:xf numFmtId="0" fontId="1" fillId="0" borderId="1" xfId="0" applyNumberFormat="1" applyFont="1" applyFill="1" applyBorder="1" applyAlignment="1">
      <x:alignment horizontal="right" vertical="center"/>
    </x:xf>
    <x:xf numFmtId="0" fontId="1" fillId="2" borderId="0" xfId="0" applyNumberFormat="1" applyFont="1" applyFill="1" applyBorder="1" applyAlignment="1">
      <x:alignment horizontal="right" vertical="center"/>
    </x:xf>
    <x:xf numFmtId="0" fontId="2" fillId="2" borderId="0" xfId="0" applyNumberFormat="1" applyFont="1" applyFill="1" applyBorder="1" applyAlignment="1">
      <x:alignment horizontal="right" vertical="center"/>
    </x:xf>
    <x:xf numFmtId="0" fontId="1" fillId="2" borderId="1" xfId="0" applyNumberFormat="1" applyFont="1" applyFill="1" applyBorder="1" applyAlignment="1">
      <x:alignment horizontal="right" vertical="center"/>
    </x:xf>
    <x:xf numFmtId="0" fontId="2" fillId="2" borderId="1" xfId="0" applyNumberFormat="1" applyFont="1" applyFill="1" applyBorder="1" applyAlignment="1">
      <x:alignment horizontal="right" vertical="center"/>
    </x:xf>
    <x:xf numFmtId="0" fontId="1" fillId="3" borderId="0" xfId="0" applyNumberFormat="1" applyFont="1" applyFill="1" applyBorder="1" applyAlignment="1">
      <x:alignment horizontal="right" vertical="center"/>
    </x:xf>
    <x:xf numFmtId="0" fontId="3" fillId="3" borderId="0" xfId="0" applyNumberFormat="1" applyFont="1" applyFill="1" applyBorder="1" applyAlignment="1">
      <x:alignment horizontal="right" vertical="center"/>
    </x:xf>
    <x:xf numFmtId="0" fontId="3" fillId="3" borderId="0" xfId="0" applyNumberFormat="1" applyFont="1" applyFill="1" applyBorder="1" applyAlignment="1">
      <x:alignment horizontal="right" vertical="center" wrapText="1"/>
    </x:xf>
    <x:xf numFmtId="0" fontId="1" fillId="3" borderId="1" xfId="0" applyNumberFormat="1" applyFont="1" applyFill="1" applyBorder="1" applyAlignment="1">
      <x:alignment horizontal="right" vertical="center"/>
    </x:xf>
    <x:xf numFmtId="0" fontId="3" fillId="3" borderId="1" xfId="0" applyNumberFormat="1" applyFont="1" applyFill="1" applyBorder="1" applyAlignment="1">
      <x:alignment horizontal="right" vertical="center"/>
    </x:xf>
    <x:xf numFmtId="0" fontId="3" fillId="3" borderId="1" xfId="0" applyNumberFormat="1" applyFont="1" applyFill="1" applyBorder="1" applyAlignment="1">
      <x:alignment horizontal="right" vertical="center" wrapText="1"/>
    </x:xf>
    <x:xf numFmtId="0" fontId="1" fillId="4" borderId="0" xfId="0" applyNumberFormat="1" applyFont="1" applyFill="1" applyBorder="1" applyAlignment="1">
      <x:alignment horizontal="right" vertical="center"/>
    </x:xf>
    <x:xf numFmtId="0" fontId="4" fillId="4" borderId="0" xfId="0" applyNumberFormat="1" applyFont="1" applyFill="1" applyBorder="1" applyAlignment="1">
      <x:alignment horizontal="right" vertical="center"/>
    </x:xf>
    <x:xf numFmtId="0" fontId="4" fillId="4" borderId="0" xfId="0" applyNumberFormat="1" applyFont="1" applyFill="1" applyBorder="1" applyAlignment="1">
      <x:alignment horizontal="right" vertical="center" wrapText="1"/>
    </x:xf>
    <x:xf numFmtId="0" fontId="4" fillId="4" borderId="0" xfId="0" applyNumberFormat="1" applyFont="1" applyFill="1" applyBorder="1" applyAlignment="1">
      <x:alignment horizontal="center" vertical="center" wrapText="1"/>
    </x:xf>
    <x:xf numFmtId="0" fontId="1" fillId="4" borderId="1" xfId="0" applyNumberFormat="1" applyFont="1" applyFill="1" applyBorder="1" applyAlignment="1">
      <x:alignment horizontal="right" vertical="center"/>
    </x:xf>
    <x:xf numFmtId="0" fontId="4" fillId="4" borderId="1" xfId="0" applyNumberFormat="1" applyFont="1" applyFill="1" applyBorder="1" applyAlignment="1">
      <x:alignment horizontal="right" vertical="center"/>
    </x:xf>
    <x:xf numFmtId="0" fontId="4" fillId="4" borderId="1" xfId="0" applyNumberFormat="1" applyFont="1" applyFill="1" applyBorder="1" applyAlignment="1">
      <x:alignment horizontal="right" vertical="center" wrapText="1"/>
    </x:xf>
    <x:xf numFmtId="0" fontId="4" fillId="4" borderId="1" xfId="0" applyNumberFormat="1" applyFont="1" applyFill="1" applyBorder="1" applyAlignment="1">
      <x:alignment horizontal="center" vertical="center" wrapText="1"/>
    </x:xf>
    <x:xf numFmtId="0" fontId="1" fillId="0" borderId="0" xfId="0" applyNumberFormat="1" applyFont="1" applyFill="1" applyBorder="1" applyAlignment="1">
      <x:alignment horizontal="right" vertical="center" wrapText="1"/>
    </x:xf>
    <x:xf numFmtId="0" fontId="1" fillId="0" borderId="1" xfId="0" applyNumberFormat="1" applyFont="1" applyFill="1" applyBorder="1" applyAlignment="1">
      <x:alignment horizontal="right" vertical="center"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horizontal="right" wrapText="1"/>
    </x:xf>
    <x:xf numFmtId="0" fontId="1" fillId="0" borderId="1" xfId="0" applyNumberFormat="1" applyFont="1" applyFill="1" applyBorder="1" applyAlignment="1">
      <x:alignment horizontal="right" wrapText="1"/>
    </x:xf>
    <x:xf numFmtId="0" fontId="1" fillId="2" borderId="0" xfId="0" applyNumberFormat="1" applyFont="1" applyFill="1" applyBorder="1" applyAlignment="1">
      <x:alignment horizontal="right" vertical="center" wrapText="1"/>
    </x:xf>
    <x:xf numFmtId="0" fontId="2" fillId="2" borderId="0" xfId="0" applyNumberFormat="1" applyFont="1" applyFill="1" applyBorder="1" applyAlignment="1">
      <x:alignment horizontal="right" vertical="center" wrapText="1"/>
    </x:xf>
    <x:xf numFmtId="0" fontId="1" fillId="2" borderId="1" xfId="0" applyNumberFormat="1" applyFont="1" applyFill="1" applyBorder="1" applyAlignment="1">
      <x:alignment horizontal="right" vertical="center" wrapText="1"/>
    </x:xf>
    <x:xf numFmtId="0" fontId="2" fillId="2" borderId="1" xfId="0" applyNumberFormat="1" applyFont="1" applyFill="1" applyBorder="1" applyAlignment="1">
      <x:alignment horizontal="right" vertical="center" wrapText="1"/>
    </x:xf>
    <x:xf numFmtId="0" fontId="1" fillId="3" borderId="0" xfId="0" applyNumberFormat="1" applyFont="1" applyFill="1" applyBorder="1" applyAlignment="1">
      <x:alignment horizontal="right" vertical="center" wrapText="1"/>
    </x:xf>
    <x:xf numFmtId="0" fontId="1" fillId="3" borderId="1" xfId="0" applyNumberFormat="1" applyFont="1" applyFill="1" applyBorder="1" applyAlignment="1">
      <x:alignment horizontal="right" vertical="center" wrapText="1"/>
    </x:xf>
    <x:xf numFmtId="0" fontId="1" fillId="5" borderId="0" xfId="0" applyNumberFormat="1" applyFont="1" applyFill="1" applyBorder="1" applyAlignment="1">
      <x:alignment horizontal="right" vertical="center" wrapText="1"/>
    </x:xf>
    <x:xf numFmtId="0" fontId="5" fillId="5" borderId="0" xfId="0" applyNumberFormat="1" applyFont="1" applyFill="1" applyBorder="1" applyAlignment="1">
      <x:alignment horizontal="right" vertical="center" wrapText="1"/>
    </x:xf>
    <x:xf numFmtId="200" fontId="5" fillId="5" borderId="0" xfId="0" applyNumberFormat="1" applyFont="1" applyFill="1" applyBorder="1" applyAlignment="1">
      <x:alignment horizontal="right" vertical="center" wrapText="1"/>
    </x:xf>
    <x:xf numFmtId="0" fontId="1" fillId="5" borderId="1" xfId="0" applyNumberFormat="1" applyFont="1" applyFill="1" applyBorder="1" applyAlignment="1">
      <x:alignment horizontal="right" vertical="center" wrapText="1"/>
    </x:xf>
    <x:xf numFmtId="0" fontId="5" fillId="5" borderId="1" xfId="0" applyNumberFormat="1" applyFont="1" applyFill="1" applyBorder="1" applyAlignment="1">
      <x:alignment horizontal="right" vertical="center" wrapText="1"/>
    </x:xf>
    <x:xf numFmtId="200" fontId="5" fillId="5" borderId="1" xfId="0" applyNumberFormat="1" applyFont="1" applyFill="1" applyBorder="1" applyAlignment="1">
      <x:alignment horizontal="right" vertical="center" wrapText="1"/>
    </x:xf>
    <x:xf numFmtId="0" fontId="1" fillId="4" borderId="0" xfId="0" applyNumberFormat="1" applyFont="1" applyFill="1" applyBorder="1" applyAlignment="1">
      <x:alignment horizontal="right" vertical="center" wrapText="1"/>
    </x:xf>
    <x:xf numFmtId="0" fontId="1" fillId="4" borderId="1" xfId="0" applyNumberFormat="1" applyFont="1" applyFill="1" applyBorder="1" applyAlignment="1">
      <x:alignment horizontal="right" vertical="center" wrapText="1"/>
    </x:xf>
    <x:xf numFmtId="201" fontId="1" fillId="0" borderId="0" xfId="0" applyNumberFormat="1" applyFont="1" applyFill="1" applyBorder="1" applyAlignment="1">
      <x:alignment horizontal="right" vertical="center" wrapText="1"/>
    </x:xf>
    <x:xf numFmtId="201" fontId="1" fillId="0" borderId="1" xfId="0" applyNumberFormat="1" applyFont="1" applyFill="1" applyBorder="1" applyAlignment="1">
      <x:alignment horizontal="right" vertical="center" wrapText="1"/>
    </x:xf>
    <x:xf numFmtId="202" fontId="1" fillId="0" borderId="0" xfId="0" applyNumberFormat="1" applyFont="1" applyFill="1" applyBorder="1" applyAlignment="1">
      <x:alignment horizontal="right" vertical="center" wrapText="1"/>
    </x:xf>
    <x:xf numFmtId="202" fontId="1" fillId="0" borderId="1" xfId="0" applyNumberFormat="1" applyFont="1" applyFill="1" applyBorder="1" applyAlignment="1">
      <x:alignment horizontal="right" vertical="center" wrapText="1"/>
    </x:xf>
    <x:xf numFmtId="203" fontId="1" fillId="0" borderId="0" xfId="0" applyNumberFormat="1" applyFont="1" applyFill="1" applyBorder="1" applyAlignment="1">
      <x:alignment horizontal="right" vertical="center" wrapText="1"/>
    </x:xf>
    <x:xf numFmtId="203" fontId="1" fillId="0" borderId="1" xfId="0" applyNumberFormat="1" applyFont="1" applyFill="1" applyBorder="1" applyAlignment="1">
      <x:alignment horizontal="right" vertical="center" wrapText="1"/>
    </x:xf>
    <x:xf numFmtId="204" fontId="1" fillId="0" borderId="0" xfId="0" applyNumberFormat="1" applyFont="1" applyFill="1" applyBorder="1" applyAlignment="1">
      <x:alignment horizontal="right" vertical="center" wrapText="1"/>
    </x:xf>
    <x:xf numFmtId="204" fontId="1" fillId="0" borderId="1" xfId="0" applyNumberFormat="1" applyFont="1" applyFill="1" applyBorder="1" applyAlignment="1">
      <x:alignment horizontal="right" vertical="center" wrapText="1"/>
    </x:xf>
    <x:xf numFmtId="204" fontId="1" fillId="3" borderId="0" xfId="0" applyNumberFormat="1" applyFont="1" applyFill="1" applyBorder="1" applyAlignment="1">
      <x:alignment horizontal="right" vertical="center" wrapText="1"/>
    </x:xf>
    <x:xf numFmtId="204" fontId="1" fillId="3" borderId="1" xfId="0" applyNumberFormat="1" applyFont="1" applyFill="1" applyBorder="1" applyAlignment="1">
      <x:alignment horizontal="right" vertical="center" wrapText="1"/>
    </x:xf>
    <x:xf numFmtId="205" fontId="1" fillId="0" borderId="0" xfId="0" applyNumberFormat="1" applyFont="1" applyFill="1" applyBorder="1" applyAlignment="1">
      <x:alignment horizontal="right" vertical="center" wrapText="1"/>
    </x:xf>
    <x:xf numFmtId="205" fontId="1" fillId="0" borderId="1" xfId="0" applyNumberFormat="1" applyFont="1" applyFill="1" applyBorder="1" applyAlignment="1">
      <x:alignment horizontal="right" vertical="center" wrapText="1"/>
    </x:xf>
    <x:xf numFmtId="206" fontId="1" fillId="0" borderId="0" xfId="0" applyNumberFormat="1" applyFont="1" applyFill="1" applyBorder="1" applyAlignment="1">
      <x:alignment horizontal="right" vertical="center" wrapText="1"/>
    </x:xf>
    <x:xf numFmtId="206" fontId="1" fillId="0" borderId="1" xfId="0" applyNumberFormat="1" applyFont="1" applyFill="1" applyBorder="1" applyAlignment="1">
      <x:alignment horizontal="right" vertical="center" wrapText="1"/>
    </x:xf>
    <x:xf numFmtId="200" fontId="6" fillId="5" borderId="0" xfId="0" applyNumberFormat="1" applyFont="1" applyFill="1" applyBorder="1" applyAlignment="1">
      <x:alignment horizontal="right" vertical="center" wrapText="1"/>
    </x:xf>
    <x:xf numFmtId="200" fontId="6" fillId="5" borderId="1" xfId="0" applyNumberFormat="1" applyFont="1" applyFill="1" applyBorder="1" applyAlignment="1">
      <x:alignment horizontal="right" vertical="center" wrapText="1"/>
    </x:xf>
    <x:xf numFmtId="0" fontId="6" fillId="0" borderId="0" xfId="0" applyNumberFormat="1" applyFont="1" applyFill="1" applyBorder="1" applyAlignment="1">
      <x:alignment horizontal="right" vertical="center" wrapText="1"/>
    </x:xf>
    <x:xf numFmtId="0" fontId="6" fillId="0" borderId="1" xfId="0" applyNumberFormat="1" applyFont="1" applyFill="1" applyBorder="1" applyAlignment="1">
      <x:alignment horizontal="right" vertical="center" wrapText="1"/>
    </x:xf>
    <x:xf numFmtId="202" fontId="6" fillId="0" borderId="0" xfId="0" applyNumberFormat="1" applyFont="1" applyFill="1" applyBorder="1" applyAlignment="1">
      <x:alignment horizontal="right" vertical="center" wrapText="1"/>
    </x:xf>
    <x:xf numFmtId="202" fontId="6" fillId="0" borderId="1" xfId="0" applyNumberFormat="1" applyFont="1" applyFill="1" applyBorder="1" applyAlignment="1">
      <x:alignment horizontal="right" vertical="center" wrapText="1"/>
    </x:xf>
    <x:xf numFmtId="201" fontId="7" fillId="0" borderId="0" xfId="0" applyNumberFormat="1" applyFont="1" applyFill="1" applyBorder="1" applyAlignment="1">
      <x:alignment horizontal="right" vertical="center" wrapText="1"/>
    </x:xf>
    <x:xf numFmtId="201" fontId="7" fillId="0" borderId="1" xfId="0" applyNumberFormat="1" applyFont="1" applyFill="1" applyBorder="1" applyAlignment="1">
      <x:alignment horizontal="right" vertical="center" wrapText="1"/>
    </x:xf>
    <x:xf numFmtId="202" fontId="7" fillId="0" borderId="0" xfId="0" applyNumberFormat="1" applyFont="1" applyFill="1" applyBorder="1" applyAlignment="1">
      <x:alignment horizontal="right" vertical="center" wrapText="1"/>
    </x:xf>
    <x:xf numFmtId="202" fontId="7" fillId="0" borderId="1" xfId="0" applyNumberFormat="1" applyFont="1" applyFill="1" applyBorder="1" applyAlignment="1">
      <x:alignment horizontal="right" vertical="center" wrapText="1"/>
    </x:xf>
    <x:xf numFmtId="204" fontId="8" fillId="3" borderId="0" xfId="0" applyNumberFormat="1" applyFont="1" applyFill="1" applyBorder="1" applyAlignment="1">
      <x:alignment horizontal="righ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776587cec204daf" /><Relationship Type="http://schemas.openxmlformats.org/officeDocument/2006/relationships/theme" Target="/xl/theme/theme1.xml" Id="R18cd66f6f1cc4471" /><Relationship Type="http://schemas.openxmlformats.org/officeDocument/2006/relationships/sharedStrings" Target="/xl/sharedStrings.xml" Id="R538ec0aa356f42ae" /><Relationship Type="http://schemas.openxmlformats.org/officeDocument/2006/relationships/worksheet" Target="/xl/worksheets/sheet1.xml" Id="R4315e047410c428e" /><Relationship Type="http://schemas.openxmlformats.org/officeDocument/2006/relationships/worksheet" Target="/xl/worksheets/sheet2.xml" Id="R06181ad932cd4d9c" /><Relationship Type="http://schemas.openxmlformats.org/officeDocument/2006/relationships/worksheet" Target="/xl/worksheets/sheet3.xml" Id="Re24d53d4029d432e" /><Relationship Type="http://schemas.openxmlformats.org/officeDocument/2006/relationships/worksheet" Target="/xl/worksheets/sheet4.xml" Id="R349c694d1e4b4111" /><Relationship Type="http://schemas.openxmlformats.org/officeDocument/2006/relationships/worksheet" Target="/xl/worksheets/sheet5.xml" Id="R1d8c4298c8234cec" /><Relationship Type="http://schemas.openxmlformats.org/officeDocument/2006/relationships/worksheet" Target="/xl/worksheets/sheet6.xml" Id="Ref4806b532254492" /><Relationship Type="http://schemas.openxmlformats.org/officeDocument/2006/relationships/worksheet" Target="/xl/worksheets/sheet7.xml" Id="R688fc605a7e5435f" /><Relationship Type="http://schemas.microsoft.com/office/2017/10/relationships/person" Target="/xl/persons/person.xml" Id="Rc0aa022ec1334b94" /></Relationships>
</file>

<file path=xl/persons/person.xml><?xml version="1.0" encoding="utf-8"?>
<xltc:personList xmlns:xltc="http://schemas.microsoft.com/office/spreadsheetml/2018/threadedcomments">
  <xltc:person displayName="HyperFamili Research" id="{D560D66E-3495-4EE1-BB22-6256FD12327A}"/>
</xltc:personList>
</file>

<file path=xl/tables/table1.xml><?xml version="1.0" encoding="utf-8"?>
<x:table xmlns:x="http://schemas.openxmlformats.org/spreadsheetml/2006/main" id="1" name="ReadmeTable" displayName="ReadmeTable" ref="A4:C18" headerRowCount="1" totalsRowCount="0" totalsRowShown="0">
  <x:tableColumns count="3">
    <x:tableColumn id="1" name="موضوع"/>
    <x:tableColumn id="2" name="راهنمای استفاده"/>
    <x:tableColumn id="3" name="یادداشت"/>
  </x:tableColumns>
  <x:tableStyleInfo name="TableStyleMedium2" showFirstColumn="0" showLastColumn="0" showRowStripes="1" showColumnStripes="0"/>
</x:table>
</file>

<file path=xl/tables/table2.xml><?xml version="1.0" encoding="utf-8"?>
<x:table xmlns:x="http://schemas.openxmlformats.org/spreadsheetml/2006/main" id="2" name="ProjectBenchmarks" displayName="ProjectBenchmarks" ref="A4:Q106" headerRowCount="1" totalsRowCount="0" totalsRowShown="0">
  <x:tableColumns count="17">
    <x:tableColumn id="1" name="شناسه"/>
    <x:tableColumn id="2" name="طرح یا محصول"/>
    <x:tableColumn id="3" name="خانواده"/>
    <x:tableColumn id="4" name="شناسه‌های پیشین"/>
    <x:tableColumn id="5" name="وضعیت شاهد ایران"/>
    <x:tableColumn id="6" name="بنچمارک ایران"/>
    <x:tableColumn id="7" name="قیمت مشاهده‌شده ایران"/>
    <x:tableColumn id="8" name="بنچمارک خارج"/>
    <x:tableColumn id="9" name="قیمت مشاهده‌شده خارج"/>
    <x:tableColumn id="10" name="دامنه کوچک پیشنهادی"/>
    <x:tableColumn id="11" name="رده سناریوی اتصال"/>
    <x:tableColumn id="12" name="کمینه نفرساعت"/>
    <x:tableColumn id="13" name="بیشینه نفرساعت"/>
    <x:tableColumn id="14" name="سناریوی کم؛ میلیون تومان"/>
    <x:tableColumn id="15" name="سناریوی زیاد؛ میلیون تومان"/>
    <x:tableColumn id="16" name="هشدار یا شرط"/>
    <x:tableColumn id="17" name="نشانی منابع"/>
  </x:tableColumns>
  <x:tableStyleInfo name="TableStyleMedium2" showFirstColumn="0" showLastColumn="0" showRowStripes="1" showColumnStripes="0"/>
</x:table>
</file>

<file path=xl/tables/table3.xml><?xml version="1.0" encoding="utf-8"?>
<x:table xmlns:x="http://schemas.openxmlformats.org/spreadsheetml/2006/main" id="3" name="PriceObservations" displayName="PriceObservations" ref="A4:P71" headerRowCount="1" totalsRowCount="0" totalsRowShown="0">
  <x:tableColumns count="16">
    <x:tableColumn id="1" name="شناسه"/>
    <x:tableColumn id="2" name="بازار"/>
    <x:tableColumn id="3" name="ناشر/فروشنده"/>
    <x:tableColumn id="4" name="مدل یا پلن"/>
    <x:tableColumn id="5" name="مبلغ کمینه"/>
    <x:tableColumn id="6" name="مبلغ بیشینه"/>
    <x:tableColumn id="7" name="ارز"/>
    <x:tableColumn id="8" name="واحد"/>
    <x:tableColumn id="9" name="شرط صورتحساب"/>
    <x:tableColumn id="10" name="دامنه قیمت"/>
    <x:tableColumn id="11" name="وضعیت شاهد"/>
    <x:tableColumn id="12" name="موجودی/شرایط"/>
    <x:tableColumn id="13" name="خارج از دامنه یا نامعلوم"/>
    <x:tableColumn id="14" name="نشانی اصلی"/>
    <x:tableColumn id="15" name="تاریخ مشاهده"/>
    <x:tableColumn id="16" name="مقدار خام متنی"/>
  </x:tableColumns>
  <x:tableStyleInfo name="TableStyleMedium2" showFirstColumn="0" showLastColumn="0" showRowStripes="1" showColumnStripes="0"/>
</x:table>
</file>

<file path=xl/tables/table4.xml><?xml version="1.0" encoding="utf-8"?>
<x:table xmlns:x="http://schemas.openxmlformats.org/spreadsheetml/2006/main" id="4" name="SourceRegister" displayName="SourceRegister" ref="A4:H48" headerRowCount="1" totalsRowCount="0" totalsRowShown="0">
  <x:tableColumns count="8">
    <x:tableColumn id="1" name="شناسه"/>
    <x:tableColumn id="2" name="ناشر"/>
    <x:tableColumn id="3" name="عنوان"/>
    <x:tableColumn id="4" name="بازار"/>
    <x:tableColumn id="5" name="نشانی"/>
    <x:tableColumn id="6" name="سطح دسترسی"/>
    <x:tableColumn id="7" name="یادداشت و محدودیت"/>
    <x:tableColumn id="8" name="تاریخ مشاهده"/>
  </x:tableColumns>
  <x:tableStyleInfo name="TableStyleMedium2" showFirstColumn="0" showLastColumn="0" showRowStripes="1" showColumnStripes="0"/>
</x:table>
</file>

<file path=xl/tables/table5.xml><?xml version="1.0" encoding="utf-8"?>
<x:table xmlns:x="http://schemas.openxmlformats.org/spreadsheetml/2006/main" id="5" name="ResearchRegister" displayName="ResearchRegister" ref="A4:J14" headerRowCount="1" totalsRowCount="0" totalsRowShown="0">
  <x:tableColumns count="10">
    <x:tableColumn id="1" name="شناسه"/>
    <x:tableColumn id="2" name="عنوان"/>
    <x:tableColumn id="3" name="جغرافیا"/>
    <x:tableColumn id="4" name="سال"/>
    <x:tableColumn id="5" name="DOI"/>
    <x:tableColumn id="6" name="نوع مطالعه"/>
    <x:tableColumn id="7" name="یافته پشتیبانی‌شده"/>
    <x:tableColumn id="8" name="سطح خواندن"/>
    <x:tableColumn id="9" name="محدودیت"/>
    <x:tableColumn id="10" name="نشانی ناشر/مقاله"/>
  </x:tableColumns>
  <x:tableStyleInfo name="TableStyleMedium2" showFirstColumn="0" showLastColumn="0" showRowStripes="1" showColumnStripes="0"/>
</x:table>
</file>

<file path=xl/tables/table6.xml><?xml version="1.0" encoding="utf-8"?>
<x:table xmlns:x="http://schemas.openxmlformats.org/spreadsheetml/2006/main" id="6" name="RepositoryRegister" displayName="RepositoryRegister" ref="A4:H19" headerRowCount="1" totalsRowCount="0" totalsRowShown="0">
  <x:tableColumns count="8">
    <x:tableColumn id="1" name="شناسه"/>
    <x:tableColumn id="2" name="مخزن"/>
    <x:tableColumn id="3" name="کاربرد"/>
    <x:tableColumn id="4" name="نکته نسخه و مجوز"/>
    <x:tableColumn id="5" name="طرح‌های مرتبط"/>
    <x:tableColumn id="6" name="سطح بررسی"/>
    <x:tableColumn id="7" name="نشانی رسمی"/>
    <x:tableColumn id="8" name="تاریخ بررسی"/>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6" dT="2026-10-16T19:40:11.184" personId="{D560D66E-3495-4EE1-BB22-6256FD12327A}" id="{CA1929EC-03E4-4839-B3C9-B2CD6FF81471}">
    <xltc:text>فرض حساسیت تحلیلگر: ۶۰۰هزار تومان/نفرساعت؛ نه تعرفه مصوب، نه نرخ بازار و نه پیش‌فاکتور. با نرخ واقعی تیم جایگزین شود.</xltc:text>
  </xltc:threadedComment>
  <xltc:threadedComment ref="B7" dT="2026-10-16T19:40:29.462" personId="{D560D66E-3495-4EE1-BB22-6256FD12327A}" id="{6FC63F2F-5C63-4514-9F9E-5BC5A0BEA7DC}">
    <xltc:text>ورودی صرفاً سناریویی تحلیلگر؛ مقدار از تعرفه رسمی یا پیمایش قیمت پیمانکار استخراج نشده. عدد قابل‌تغییر و خارج از قیمت دستگاه/مجوز/بهره‌برداری است.</xltc:text>
  </xltc:threadedComment>
  <xltc:threadedComment ref="B8" dT="2026-10-16T19:40:29.462" personId="{D560D66E-3495-4EE1-BB22-6256FD12327A}" id="{F508F89E-5758-4A49-A414-395A12004323}">
    <xltc:text>ورودی صرفاً سناریویی تحلیلگر؛ مقدار از تعرفه رسمی یا پیمایش قیمت پیمانکار استخراج نشده. عدد قابل‌تغییر و خارج از قیمت دستگاه/مجوز/بهره‌برداری است.</xltc:text>
  </xltc:threadedComment>
  <xltc:threadedComment ref="B9" dT="2026-10-16T19:40:29.462" personId="{D560D66E-3495-4EE1-BB22-6256FD12327A}" id="{94BEC265-C47A-4E04-85E0-613D8397A379}">
    <xltc:text>عمداً خالی: مقدار معتبر با تاریخ، منبع و دامنه مشخص دریافت نشده است. صفر فرض نشود.</xltc:text>
  </xltc:threadedComment>
  <xltc:threadedComment ref="B10" dT="2026-10-16T19:40:29.463" personId="{D560D66E-3495-4EE1-BB22-6256FD12327A}" id="{0B57FA0F-D49F-4E2F-90A9-EF48319E09C0}">
    <xltc:text>عمداً خالی: مقدار معتبر با تاریخ، منبع و دامنه مشخص دریافت نشده است. صفر فرض نشود.</xltc:text>
  </xltc:threadedComment>
  <xltc:threadedComment ref="B11" dT="2026-10-16T19:40:29.463" personId="{D560D66E-3495-4EE1-BB22-6256FD12327A}" id="{7E60860E-E9D4-46DD-B9C2-F583F1833836}">
    <xltc:text>عمداً خالی: مقدار معتبر با تاریخ، منبع و دامنه مشخص دریافت نشده است. صفر فرض نشود.</xltc:text>
  </xltc:threadedComment>
  <xltc:threadedComment ref="C22" dT="2026-10-16T19:40:29.463" personId="{D560D66E-3495-4EE1-BB22-6256FD12327A}" id="{E9E39457-7907-4234-B635-257A129A081E}">
    <xltc:text>https://www.solum-group.com/us/en/resources/business-cases/insight-detail.retail.are-electronic-shelf-labels-expensive
بازه عمومی سازنده بدون مدل دقیق، نه پیش‌فاکتور. عبارت هزینه منظم۵۰۰دلار مدت ندارد و استفاده مالی نشده.</xltc:text>
  </xltc:threadedComment>
  <xltc:threadedComment ref="D22" dT="2026-10-16T19:40:29.463" personId="{D560D66E-3495-4EE1-BB22-6256FD12327A}" id="{67E3B3DF-E7E8-4EA8-BD14-7DE56C7659C1}">
    <xltc:text>https://www.solum-group.com/us/en/resources/business-cases/insight-detail.retail.are-electronic-shelf-labels-expensive
بازه عمومی سازنده بدون مدل دقیق، نه پیش‌فاکتور. عبارت هزینه منظم۵۰۰دلار مدت ندارد و استفاده مالی نشده.</xltc:text>
  </xltc:threadedComment>
  <xltc:threadedComment ref="B22" dT="2026-10-16T19:40:29.463" personId="{D560D66E-3495-4EE1-BB22-6256FD12327A}" id="{19EB21AD-7F36-4126-AC49-67887C4D964B}">
    <xltc:text>تعداد/دامنه مثال تحلیلی است؛ تعداد مصوب خرید فامیلی نیست.</xltc:text>
  </xltc:threadedComment>
  <xltc:threadedComment ref="C23" dT="2026-10-16T19:40:29.463" personId="{D560D66E-3495-4EE1-BB22-6256FD12327A}" id="{C744A6F8-C69D-4C5A-90CB-14FEE85D6A1A}">
    <xltc:text>https://www.yodeck.com/pricing/
USD از ارزهای دیگر جدا استخراج شد. پلیر رایگان در مسیر سالانه شروط دارد؛ نمایشگر نیست. ۱نمایشگر رایگان با پنج نمایشگر آزمایشی تفاوت دارد.</xltc:text>
  </xltc:threadedComment>
  <xltc:threadedComment ref="D23" dT="2026-10-16T19:40:29.463" personId="{D560D66E-3495-4EE1-BB22-6256FD12327A}" id="{C1C6A264-1A85-4DB3-9F55-BF7DFE11B9AA}">
    <xltc:text>https://www.yodeck.com/pricing/
USD از ارزهای دیگر جدا استخراج شد. پلیر رایگان در مسیر سالانه شروط دارد؛ نمایشگر نیست. ۱نمایشگر رایگان با پنج نمایشگر آزمایشی تفاوت دارد.</xltc:text>
  </xltc:threadedComment>
  <xltc:threadedComment ref="B23" dT="2026-10-16T19:40:29.463" personId="{D560D66E-3495-4EE1-BB22-6256FD12327A}" id="{EF0BF788-9B20-4D91-8D98-8A0A210E78B2}">
    <xltc:text>تعداد/دامنه مثال تحلیلی است؛ تعداد مصوب خرید فامیلی نیست.</xltc:text>
  </xltc:threadedComment>
  <xltc:threadedComment ref="C24" dT="2026-10-16T19:40:29.463" personId="{D560D66E-3495-4EE1-BB22-6256FD12327A}" id="{6A389E90-6E5C-4B8A-AD1D-C4073C8AA39F}">
    <xltc:text>https://atency.com/
ثبت حضور و شیفت پایه؛ معادل برنامه‌ریزی بهینه و منصفانه تقاضامحور کل شبکه نیست. محدوده خدمت باید تطبیق داده شود.</xltc:text>
  </xltc:threadedComment>
  <xltc:threadedComment ref="D24" dT="2026-10-16T19:40:29.463" personId="{D560D66E-3495-4EE1-BB22-6256FD12327A}" id="{0AA4E7B8-24E7-4342-AB2B-E51C9F177677}">
    <xltc:text>https://atency.com/
ثبت حضور و شیفت پایه؛ معادل برنامه‌ریزی بهینه و منصفانه تقاضامحور کل شبکه نیست. محدوده خدمت باید تطبیق داده شود.</xltc:text>
  </xltc:threadedComment>
  <xltc:threadedComment ref="B24" dT="2026-10-16T19:40:29.463" personId="{D560D66E-3495-4EE1-BB22-6256FD12327A}" id="{FF9F85DA-391F-4885-B682-60A9B104ECDF}">
    <xltc:text>تعداد/دامنه مثال تحلیلی است؛ تعداد مصوب خرید فامیلی نیست.</xltc:text>
  </xltc:threadedComment>
  <xltc:threadedComment ref="C25" dT="2026-10-16T19:40:29.463" personId="{D560D66E-3495-4EE1-BB22-6256FD12327A}" id="{B0354199-B73C-4D7A-BCBB-29EBF2754FB7}">
    <xltc:text>https://www.robotlab.com/store/category/cleaning/
خرید از / RaaS۳۶ماهه؛ گزینه‌های جایگزین‌اند، نه جمع‌شونده. خدمات ایران احراز نشده.</xltc:text>
  </xltc:threadedComment>
  <xltc:threadedComment ref="D25" dT="2026-10-16T19:40:29.463" personId="{D560D66E-3495-4EE1-BB22-6256FD12327A}" id="{42BBF817-233C-4575-ACBA-E60AC2294B99}">
    <xltc:text>https://www.robotlab.com/store/category/cleaning/
خرید از / RaaS۳۶ماهه؛ گزینه‌های جایگزین‌اند، نه جمع‌شونده. خدمات ایران احراز نشده.</xltc:text>
  </xltc:threadedComment>
  <xltc:threadedComment ref="B25" dT="2026-10-16T19:40:29.463" personId="{D560D66E-3495-4EE1-BB22-6256FD12327A}" id="{25EE9B3A-EE98-4D27-8503-7AC66507C70E}">
    <xltc:text>تعداد/دامنه مثال تحلیلی است؛ تعداد مصوب خرید فامیلی نیست.</xltc:text>
  </xltc:threadedComment>
  <xltc:threadedComment ref="C26" dT="2026-10-16T19:40:29.463" personId="{D560D66E-3495-4EE1-BB22-6256FD12327A}" id="{DD4D2679-6782-4761-AFA4-4BF5CC2D55CF}">
    <xltc:text>https://payapars.com/shop/page/3/
قیمت تجهیز در کاتالوگ عمومی؛ موجودی، شرایط تحویل و اعتبار معامله نیازمند استعلام.</xltc:text>
  </xltc:threadedComment>
  <xltc:threadedComment ref="D26" dT="2026-10-16T19:40:29.463" personId="{D560D66E-3495-4EE1-BB22-6256FD12327A}" id="{1E1E5438-D5F1-4B4A-AF76-9F03CEBD736E}">
    <xltc:text>https://payapars.com/shop/page/2/
قیمت تجهیز در کاتالوگ عمومی؛ موجودی، شرایط تحویل و اعتبار معامله نیازمند استعلام.</xltc:text>
  </xltc:threadedComment>
  <xltc:threadedComment ref="C15" dT="2026-10-16T19:40:46.68" personId="{D560D66E-3495-4EE1-BB22-6256FD12327A}" id="{DFAEC135-06B2-4778-B7E5-7423C5522420}">
    <xltc:text>شکست کار پیشنهادی تحلیلگر برای دامنه محدود؛ مبنا در فایل 13-benchmarks-prices/cost-model.md. زمان‌سنجی انجام نشده و سقف تعهد نیست.</xltc:text>
  </xltc:threadedComment>
  <xltc:threadedComment ref="C16" dT="2026-10-16T19:40:46.681" personId="{D560D66E-3495-4EE1-BB22-6256FD12327A}" id="{6BB07F61-1026-4AA9-B678-CB2116373876}">
    <xltc:text>شکست کار پیشنهادی تحلیلگر برای دامنه محدود؛ مبنا در فایل 13-benchmarks-prices/cost-model.md. زمان‌سنجی انجام نشده و سقف تعهد نیست.</xltc:text>
  </xltc:threadedComment>
  <xltc:threadedComment ref="C17" dT="2026-10-16T19:40:46.681" personId="{D560D66E-3495-4EE1-BB22-6256FD12327A}" id="{9C7C7F74-C077-4BB6-B95A-62C4741B858C}">
    <xltc:text>شکست کار پیشنهادی تحلیلگر برای دامنه محدود؛ مبنا در فایل 13-benchmarks-prices/cost-model.md. زمان‌سنجی انجام نشده و سقف تعهد نیست.</xltc:text>
  </xltc:threadedComment>
  <xltc:threadedComment ref="C18" dT="2026-10-16T19:40:46.681" personId="{D560D66E-3495-4EE1-BB22-6256FD12327A}" id="{AC6116E7-11EF-43C6-BAC3-A4AD205F3292}">
    <xltc:text>شکست کار پیشنهادی تحلیلگر برای دامنه محدود؛ مبنا در فایل 13-benchmarks-prices/cost-model.md. زمان‌سنجی انجام نشده و سقف تعهد نیست.</xltc:text>
  </xltc:threadedComment>
  <xltc:threadedComment ref="E24" dT="2026-10-16T19:44:46.964" personId="{D560D66E-3495-4EE1-BB22-6256FD12327A}" id="{6326657C-DE7F-413F-918A-C7562A88B8EC}">
    <xltc:text>۸۴میلیون تومان از ۲۰۰×۳۵۰۰۰×۱۲ بر مبنای نرخ ماهانه بدون تخفیف محاسبه شده است. صفحه تخفیف تبلیغ‌شده سالانه نیز دارد؛ برای قیمت واقعی قرارداد تأیید شود. https://atency.com/</xltc:text>
  </xltc:threadedComment>
</xltc:ThreadedComments>
</file>

<file path=xl/worksheets/_rels/sheet1.xml.rels>&#65279;<?xml version="1.0" encoding="utf-8"?><Relationships xmlns="http://schemas.openxmlformats.org/package/2006/relationships"><Relationship Type="http://schemas.openxmlformats.org/officeDocument/2006/relationships/table" Target="/xl/tables/table1.xml" Id="R30e11e508c0841e4" /></Relationships>
</file>

<file path=xl/worksheets/_rels/sheet2.xml.rels>&#65279;<?xml version="1.0" encoding="utf-8"?><Relationships xmlns="http://schemas.openxmlformats.org/package/2006/relationships"><Relationship Type="http://schemas.openxmlformats.org/officeDocument/2006/relationships/comments" Target="/xl/comments1.xml" Id="Rcf8266e2082e4ee6" /><Relationship Type="http://schemas.openxmlformats.org/officeDocument/2006/relationships/vmlDrawing" Target="/xl/drawings/vmldrawing.vml" Id="R29ed517d014d43f1" /><Relationship Type="http://schemas.microsoft.com/office/2017/10/relationships/threadedComment" Target="/xl/threadedcomments/threadedcomment.xml" Id="Re7d23cc7f09f464c" /></Relationships>
</file>

<file path=xl/worksheets/_rels/sheet3.xml.rels>&#65279;<?xml version="1.0" encoding="utf-8"?><Relationships xmlns="http://schemas.openxmlformats.org/package/2006/relationships"><Relationship Type="http://schemas.openxmlformats.org/officeDocument/2006/relationships/table" Target="/xl/tables/table2.xml" Id="Raa4e64847ca7449e" /></Relationships>
</file>

<file path=xl/worksheets/_rels/sheet4.xml.rels>&#65279;<?xml version="1.0" encoding="utf-8"?><Relationships xmlns="http://schemas.openxmlformats.org/package/2006/relationships"><Relationship Type="http://schemas.openxmlformats.org/officeDocument/2006/relationships/table" Target="/xl/tables/table3.xml" Id="R9b200ea340824a2d" /></Relationships>
</file>

<file path=xl/worksheets/_rels/sheet5.xml.rels>&#65279;<?xml version="1.0" encoding="utf-8"?><Relationships xmlns="http://schemas.openxmlformats.org/package/2006/relationships"><Relationship Type="http://schemas.openxmlformats.org/officeDocument/2006/relationships/table" Target="/xl/tables/table4.xml" Id="R212cf90b701e4d71" /></Relationships>
</file>

<file path=xl/worksheets/_rels/sheet6.xml.rels>&#65279;<?xml version="1.0" encoding="utf-8"?><Relationships xmlns="http://schemas.openxmlformats.org/package/2006/relationships"><Relationship Type="http://schemas.openxmlformats.org/officeDocument/2006/relationships/table" Target="/xl/tables/table5.xml" Id="R9e4a4dfa43084c59" /></Relationships>
</file>

<file path=xl/worksheets/_rels/sheet7.xml.rels>&#65279;<?xml version="1.0" encoding="utf-8"?><Relationships xmlns="http://schemas.openxmlformats.org/package/2006/relationships"><Relationship Type="http://schemas.openxmlformats.org/officeDocument/2006/relationships/table" Target="/xl/tables/table6.xml" Id="R78b97f5dda934bce"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4" hidden="0" customWidth="1"/>
    <x:col min="2" max="2" width="84" hidden="0" customWidth="1"/>
    <x:col min="3" max="3" width="18" hidden="0" customWidth="1"/>
  </x:cols>
  <x:sheetData>
    <x:row r="1" ht="34" customHeight="1">
      <x:c r="A1" s="9" t="str">
        <x:v>بنچمارک ایران و جهان | دفتر قیمت و مدل برآورد</x:v>
      </x:c>
      <x:c r="B1" s="9"/>
      <x:c r="C1" s="9"/>
    </x:row>
    <x:row r="2" ht="42" customHeight="1">
      <x:c r="A2" s="14" t="str">
        <x:v>برای بودجه: ابتدا شاملات، سپس مدل هزینه و در نهایت استعلام کتبی. هیچ جمع بودجه شبکه‌ای در این فایل ساخته نشده.</x:v>
      </x:c>
      <x:c r="B2" s="14"/>
      <x:c r="C2" s="14"/>
    </x:row>
    <x:row r="3">
      <x:c r="A3" s="6"/>
      <x:c r="B3" s="6"/>
      <x:c r="C3" s="6"/>
    </x:row>
    <x:row r="4" ht="42" customHeight="1">
      <x:c r="A4" s="21" t="str">
        <x:v>موضوع</x:v>
      </x:c>
      <x:c r="B4" s="21" t="str">
        <x:v>راهنمای استفاده</x:v>
      </x:c>
      <x:c r="C4" s="21" t="str">
        <x:v>یادداشت</x:v>
      </x:c>
    </x:row>
    <x:row r="5" ht="62" customHeight="1">
      <x:c r="A5" s="26" t="str">
        <x:v>دامنه</x:v>
      </x:c>
      <x:c r="B5" s="26" t="str">
        <x:v>۱۰۲ واحد تصمیم؛ نه ۱۰۲ پروژه مستقل و قابل جمع</x:v>
      </x:c>
      <x:c r="C5" s="26" t="str"/>
    </x:row>
    <x:row r="6" ht="62" customHeight="1">
      <x:c r="A6" s="26" t="str">
        <x:v>قیمت</x:v>
      </x:c>
      <x:c r="B6" s="26" t="str">
        <x:v>۶۷ مشاهده؛ ترکیبی از قیمت عمومی، بازه سازنده و سرنخ با برچسب</x:v>
      </x:c>
      <x:c r="C6" s="26" t="str"/>
    </x:row>
    <x:row r="7" ht="62" customHeight="1">
      <x:c r="A7" s="26" t="str">
        <x:v>ایران اول</x:v>
      </x:c>
      <x:c r="B7" s="26" t="str">
        <x:v>در هر طرح، عرضه ایرانی یا مؤلفه همجوار از نمونه خارجی جداست.</x:v>
      </x:c>
      <x:c r="C7" s="26" t="str"/>
    </x:row>
    <x:row r="8" ht="62" customHeight="1">
      <x:c r="A8" s="26" t="str">
        <x:v>نفرساعت</x:v>
      </x:c>
      <x:c r="B8" s="26" t="str">
        <x:v>مدل سناریویی تحلیلگر؛ نرخ بازار، تعرفه مصوب یا پیشنهاد پیمانکار نیست.</x:v>
      </x:c>
      <x:c r="C8" s="26" t="str"/>
    </x:row>
    <x:row r="9" ht="62" customHeight="1">
      <x:c r="A9" s="26" t="str">
        <x:v>ورودی قابل تغییر</x:v>
      </x:c>
      <x:c r="B9" s="26" t="str">
        <x:v>نرخ‌های مدل هزینه آبی هستند؛ نرخ ارز عمداً خالی است.</x:v>
      </x:c>
      <x:c r="C9" s="26" t="str"/>
    </x:row>
    <x:row r="10" ht="62" customHeight="1">
      <x:c r="A10" s="26" t="str">
        <x:v>مجهول</x:v>
      </x:c>
      <x:c r="B10" s="26" t="str">
        <x:v>خالی/نیازمند استعلام به معنی صفر نیست. هزینه‌های نامشخص در جمع کل پنهان نشده‌اند.</x:v>
      </x:c>
      <x:c r="C10" s="26" t="str"/>
    </x:row>
    <x:row r="11" ht="62" customHeight="1">
      <x:c r="A11" s="26" t="str">
        <x:v>مقایسه</x:v>
      </x:c>
      <x:c r="B11" s="26" t="str">
        <x:v>مدل، واحد، مدت، تعداد، مالیات و شاملات باید برابر شوند.</x:v>
      </x:c>
      <x:c r="C11" s="26" t="str"/>
    </x:row>
    <x:row r="12" ht="62" customHeight="1">
      <x:c r="A12" s="26" t="str">
        <x:v>ممنوعیت جمع</x:v>
      </x:c>
      <x:c r="B12" s="26" t="str">
        <x:v>مدل‌های جایگزین، زیرساخت مشترک و سطرهای پوشش دامنه را جمع نکنید.</x:v>
      </x:c>
      <x:c r="C12" s="26" t="str"/>
    </x:row>
    <x:row r="13" ht="62" customHeight="1">
      <x:c r="A13" s="26" t="str">
        <x:v>مجوز</x:v>
      </x:c>
      <x:c r="B13" s="26" t="str">
        <x:v>پشتیبانی و امکان قرارداد/تأمین مجاز در ایران باید جدا احراز شود.</x:v>
      </x:c>
      <x:c r="C13" s="26" t="str"/>
    </x:row>
    <x:row r="14" ht="62" customHeight="1">
      <x:c r="A14" s="26" t="str">
        <x:v>پژوهش</x:v>
      </x:c>
      <x:c r="B14" s="26" t="str">
        <x:v>۱۰ مدخل: ۴ این موج + ۶ پرونده قبلی؛ یک مقاله داخلی فقط سرنخ است.</x:v>
      </x:c>
      <x:c r="C14" s="26" t="str"/>
    </x:row>
    <x:row r="15" ht="62" customHeight="1">
      <x:c r="A15" s="26" t="str">
        <x:v>مخزن</x:v>
      </x:c>
      <x:c r="B15" s="26" t="str">
        <x:v>۱۵ صفحه رسمی بررسی؛ هیچ کد بیرونی نصب یا بنچمارک اجرا نشده.</x:v>
      </x:c>
      <x:c r="C15" s="26" t="str"/>
    </x:row>
    <x:row r="16" ht="62" customHeight="1">
      <x:c r="A16" s="26" t="str">
        <x:v>آرشیو</x:v>
      </x:c>
      <x:c r="B16" s="26" t="str">
        <x:v>۵۲۷ فایل Markdown قبلی بدون تغییر در ZIP نگهداری می‌شود.</x:v>
      </x:c>
      <x:c r="C16" s="26" t="str"/>
    </x:row>
    <x:row r="17" ht="62" customHeight="1">
      <x:c r="A17" s="26" t="str">
        <x:v>تاریخ</x:v>
      </x:c>
      <x:c r="B17" s="26" t="str">
        <x:v>2026-10-16</x:v>
      </x:c>
      <x:c r="C17" s="26" t="str"/>
    </x:row>
    <x:row r="18" ht="62" customHeight="1">
      <x:c r="A18" s="26" t="str">
        <x:v>منبع قیمت</x:v>
      </x:c>
      <x:c r="B18" s="26" t="str">
        <x:v>نشانی اصلی و سطح دسترسی در شیت منابع و قیمت‌ها ثبت شده است.</x:v>
      </x:c>
      <x:c r="C18" s="26" t="str"/>
    </x:row>
  </x:sheetData>
  <x:mergeCells>
    <x:mergeCell ref="A1:C1"/>
    <x:mergeCell ref="A2:C2"/>
  </x:mergeCells>
  <x:pageMargins left="0.7" right="0.7" top="0.75" bottom="0.75" header="0.3" footer="0.3"/>
  <x:tableParts count="1">
    <x:tablePart xmlns:r="http://schemas.openxmlformats.org/officeDocument/2006/relationships" r:id="R30e11e508c0841e4"/>
  </x:tableParts>
</x:worksheet>
</file>

<file path=xl/worksheets/sheet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49" hidden="0" customWidth="1"/>
    <x:col min="2" max="2" width="34" hidden="0" customWidth="1"/>
    <x:col min="3" max="3" width="24" hidden="0" customWidth="1"/>
    <x:col min="4" max="4" width="24" hidden="0" customWidth="1"/>
    <x:col min="5" max="5" width="31" hidden="0" customWidth="1"/>
    <x:col min="6" max="6" width="31" hidden="0" customWidth="1"/>
  </x:cols>
  <x:sheetData>
    <x:row r="1" ht="36" customHeight="1">
      <x:c r="A1" s="33" t="str">
        <x:v>مدل سناریویی هزینه | نه تعرفه بازار</x:v>
      </x:c>
      <x:c r="B1" s="33"/>
      <x:c r="C1" s="33"/>
      <x:c r="D1" s="33"/>
      <x:c r="E1" s="33"/>
      <x:c r="F1" s="33"/>
    </x:row>
    <x:row r="2">
      <x:c r="A2" s="36" t="str">
        <x:v>نرخ‌های زیر ورودی آزمایشی تحلیلگرند؛ با نرخ واقعی تیم/پیمانکار جایگزین شوند. حدود ساعت مربوط به دامنه کوچک هر کارت است؛ تجهیز، مجوز، میزبانی و عملیات در هزینه کار نرم‌افزاری نیست.</x:v>
      </x:c>
      <x:c r="B2" s="36"/>
      <x:c r="C2" s="36"/>
      <x:c r="D2" s="36"/>
      <x:c r="E2" s="36"/>
      <x:c r="F2" s="36"/>
    </x:row>
    <x:row r="3">
      <x:c r="A3" s="36"/>
      <x:c r="B3" s="36"/>
      <x:c r="C3" s="36"/>
      <x:c r="D3" s="36"/>
      <x:c r="E3" s="36"/>
      <x:c r="F3" s="36"/>
    </x:row>
    <x:row r="4">
      <x:c r="A4" s="26"/>
      <x:c r="B4" s="26"/>
      <x:c r="C4" s="26"/>
      <x:c r="D4" s="26"/>
      <x:c r="E4" s="26"/>
      <x:c r="F4" s="26"/>
    </x:row>
    <x:row r="5" ht="34" customHeight="1">
      <x:c r="A5" s="20" t="str">
        <x:v>ورودی</x:v>
      </x:c>
      <x:c r="B5" s="20" t="str">
        <x:v>مقدار</x:v>
      </x:c>
      <x:c r="C5" s="20" t="str">
        <x:v>واحد/توضیح</x:v>
      </x:c>
      <x:c r="D5" s="26"/>
      <x:c r="E5" s="26"/>
      <x:c r="F5" s="26"/>
    </x:row>
    <x:row r="6" ht="34" customHeight="1">
      <x:c r="A6" s="26" t="str">
        <x:v>نرخ سناریوی پایین</x:v>
      </x:c>
      <x:c r="B6" s="60" t="n">
        <x:v>600000</x:v>
      </x:c>
      <x:c r="C6" s="26" t="str">
        <x:v>تومان/نفرساعت؛ فرض</x:v>
      </x:c>
      <x:c r="D6" s="26"/>
      <x:c r="E6" s="26"/>
      <x:c r="F6" s="26"/>
    </x:row>
    <x:row r="7" ht="34" customHeight="1">
      <x:c r="A7" s="26" t="str">
        <x:v>نرخ سناریوی پایه</x:v>
      </x:c>
      <x:c r="B7" s="60" t="n">
        <x:v>1000000</x:v>
      </x:c>
      <x:c r="C7" s="26" t="str">
        <x:v>تومان/نفرساعت؛ فرض</x:v>
      </x:c>
      <x:c r="D7" s="26"/>
      <x:c r="E7" s="26"/>
      <x:c r="F7" s="26"/>
    </x:row>
    <x:row r="8" ht="34" customHeight="1">
      <x:c r="A8" s="26" t="str">
        <x:v>نرخ سناریوی بالا</x:v>
      </x:c>
      <x:c r="B8" s="60" t="n">
        <x:v>1500000</x:v>
      </x:c>
      <x:c r="C8" s="26" t="str">
        <x:v>تومان/نفرساعت؛ فرض</x:v>
      </x:c>
      <x:c r="D8" s="26"/>
      <x:c r="E8" s="26"/>
      <x:c r="F8" s="26"/>
    </x:row>
    <x:row r="9" ht="34" customHeight="1">
      <x:c r="A9" s="26" t="str">
        <x:v>نرخ دلار به تومان</x:v>
      </x:c>
      <x:c r="B9" s="60"/>
      <x:c r="C9" s="26" t="str">
        <x:v>وارد نشده؛ تبدیل خودکار انجام نمی‌شود</x:v>
      </x:c>
      <x:c r="D9" s="26"/>
      <x:c r="E9" s="26"/>
      <x:c r="F9" s="26"/>
    </x:row>
    <x:row r="10" ht="34" customHeight="1">
      <x:c r="A10" s="26" t="str">
        <x:v>نرخ یورو به تومان</x:v>
      </x:c>
      <x:c r="B10" s="60"/>
      <x:c r="C10" s="26" t="str">
        <x:v>وارد نشده؛ نرخ با تاریخ و مبنای معتبر لازم است</x:v>
      </x:c>
      <x:c r="D10" s="26"/>
      <x:c r="E10" s="26"/>
      <x:c r="F10" s="26"/>
    </x:row>
    <x:row r="11" ht="34" customHeight="1">
      <x:c r="A11" s="26" t="str">
        <x:v>مالیات/حمل/نصب</x:v>
      </x:c>
      <x:c r="B11" s="60"/>
      <x:c r="C11" s="26" t="str">
        <x:v>در پیش‌فاکتور جدا تعیین شود</x:v>
      </x:c>
      <x:c r="D11" s="26"/>
      <x:c r="E11" s="26"/>
      <x:c r="F11" s="26"/>
    </x:row>
    <x:row r="12" ht="34" customHeight="1">
      <x:c r="A12" s="26"/>
      <x:c r="B12" s="26"/>
      <x:c r="C12" s="26"/>
      <x:c r="D12" s="26"/>
      <x:c r="E12" s="26"/>
      <x:c r="F12" s="26"/>
    </x:row>
    <x:row r="13" ht="34" customHeight="1">
      <x:c r="A13" s="26"/>
      <x:c r="B13" s="26"/>
      <x:c r="C13" s="26"/>
      <x:c r="D13" s="26"/>
      <x:c r="E13" s="26"/>
      <x:c r="F13" s="26"/>
    </x:row>
    <x:row r="14" ht="34" customHeight="1">
      <x:c r="A14" s="20" t="str">
        <x:v>رده</x:v>
      </x:c>
      <x:c r="B14" s="20" t="str">
        <x:v>دامنه</x:v>
      </x:c>
      <x:c r="C14" s="20" t="str">
        <x:v>کمینه ساعت</x:v>
      </x:c>
      <x:c r="D14" s="20" t="str">
        <x:v>بیشینه ساعت</x:v>
      </x:c>
      <x:c r="E14" s="20" t="str">
        <x:v>سناریوی کم؛ میلیون تومان</x:v>
      </x:c>
      <x:c r="F14" s="20" t="str">
        <x:v>سناریوی زیاد؛ میلیون تومان</x:v>
      </x:c>
    </x:row>
    <x:row r="15" ht="34" customHeight="1">
      <x:c r="A15" s="26" t="str">
        <x:v>L1</x:v>
      </x:c>
      <x:c r="B15" s="26" t="str">
        <x:v>اتصال/رابط محدود</x:v>
      </x:c>
      <x:c r="C15" s="62" t="n">
        <x:v>200</x:v>
      </x:c>
      <x:c r="D15" s="62" t="n">
        <x:v>384</x:v>
      </x:c>
      <x:c r="E15" s="66" t="n">
        <x:f>C15*$B$6/1000000</x:f>
        <x:v>120</x:v>
      </x:c>
      <x:c r="F15" s="66" t="n">
        <x:f>D15*$B$8/1000000</x:f>
        <x:v>576</x:v>
      </x:c>
    </x:row>
    <x:row r="16" ht="34" customHeight="1">
      <x:c r="A16" s="26" t="str">
        <x:v>L2</x:v>
      </x:c>
      <x:c r="B16" s="26" t="str">
        <x:v>گردش‌کار یکپارچه کوچک</x:v>
      </x:c>
      <x:c r="C16" s="62" t="n">
        <x:v>400</x:v>
      </x:c>
      <x:c r="D16" s="62" t="n">
        <x:v>800</x:v>
      </x:c>
      <x:c r="E16" s="66" t="n">
        <x:f>C16*$B$6/1000000</x:f>
        <x:v>240</x:v>
      </x:c>
      <x:c r="F16" s="66" t="n">
        <x:f>D16*$B$8/1000000</x:f>
        <x:v>1200</x:v>
      </x:c>
    </x:row>
    <x:row r="17" ht="34" customHeight="1">
      <x:c r="A17" s="26" t="str">
        <x:v>L3</x:v>
      </x:c>
      <x:c r="B17" s="26" t="str">
        <x:v>AI/تصمیم محدود با اعتبارسنجی</x:v>
      </x:c>
      <x:c r="C17" s="62" t="n">
        <x:v>664</x:v>
      </x:c>
      <x:c r="D17" s="62" t="n">
        <x:v>1440</x:v>
      </x:c>
      <x:c r="E17" s="66" t="n">
        <x:f>C17*$B$6/1000000</x:f>
        <x:v>398.4</x:v>
      </x:c>
      <x:c r="F17" s="66" t="n">
        <x:f>D17*$B$8/1000000</x:f>
        <x:v>2160</x:v>
      </x:c>
    </x:row>
    <x:row r="18" ht="34" customHeight="1">
      <x:c r="A18" s="26" t="str">
        <x:v>L4</x:v>
      </x:c>
      <x:c r="B18" s="26" t="str">
        <x:v>یکپارچه‌سازی پیچیده محدود</x:v>
      </x:c>
      <x:c r="C18" s="62" t="n">
        <x:v>1120</x:v>
      </x:c>
      <x:c r="D18" s="62" t="n">
        <x:v>2640</x:v>
      </x:c>
      <x:c r="E18" s="66" t="n">
        <x:f>C18*$B$6/1000000</x:f>
        <x:v>672</x:v>
      </x:c>
      <x:c r="F18" s="66" t="n">
        <x:f>D18*$B$8/1000000</x:f>
        <x:v>3960</x:v>
      </x:c>
    </x:row>
    <x:row r="19" ht="34" customHeight="1">
      <x:c r="A19" s="26"/>
      <x:c r="B19" s="26"/>
      <x:c r="C19" s="26"/>
      <x:c r="D19" s="26"/>
      <x:c r="E19" s="26"/>
      <x:c r="F19" s="26"/>
    </x:row>
    <x:row r="20" ht="34" customHeight="1">
      <x:c r="A20" s="26"/>
      <x:c r="B20" s="26"/>
      <x:c r="C20" s="26"/>
      <x:c r="D20" s="26"/>
      <x:c r="E20" s="26"/>
      <x:c r="F20" s="26"/>
    </x:row>
    <x:row r="21" ht="34" customHeight="1">
      <x:c r="A21" s="20" t="str">
        <x:v>مثال محدود</x:v>
      </x:c>
      <x:c r="B21" s="20" t="str">
        <x:v>تعداد</x:v>
      </x:c>
      <x:c r="C21" s="20" t="str">
        <x:v>قیمت واحد پایین</x:v>
      </x:c>
      <x:c r="D21" s="20" t="str">
        <x:v>قیمت واحد بالا</x:v>
      </x:c>
      <x:c r="E21" s="20" t="str">
        <x:v>خروجی پایین</x:v>
      </x:c>
      <x:c r="F21" s="20" t="str">
        <x:v>خروجی بالا</x:v>
      </x:c>
    </x:row>
    <x:row r="22" ht="34" customHeight="1">
      <x:c r="A22" s="26" t="str">
        <x:v>۳۰۰برچسب و یک گیت‌وی؛ USD</x:v>
      </x:c>
      <x:c r="B22" s="62" t="n">
        <x:v>300</x:v>
      </x:c>
      <x:c r="C22" s="64" t="n">
        <x:v>5</x:v>
      </x:c>
      <x:c r="D22" s="64" t="n">
        <x:v>10</x:v>
      </x:c>
      <x:c r="E22" s="68" t="n">
        <x:f>B22*C22+300</x:f>
        <x:v>1800</x:v>
      </x:c>
      <x:c r="F22" s="68" t="n">
        <x:f>B22*D22+400</x:f>
        <x:v>3400</x:v>
      </x:c>
    </x:row>
    <x:row r="23" ht="34" customHeight="1">
      <x:c r="A23" s="26" t="str">
        <x:v>۲۰مجوز YodeckBasic؛ سالانهUSD</x:v>
      </x:c>
      <x:c r="B23" s="62" t="n">
        <x:v>20</x:v>
      </x:c>
      <x:c r="C23" s="64" t="n">
        <x:v>8</x:v>
      </x:c>
      <x:c r="D23" s="64" t="n">
        <x:v>8</x:v>
      </x:c>
      <x:c r="E23" s="68" t="n">
        <x:f>B23*C23*12</x:f>
        <x:v>1920</x:v>
      </x:c>
      <x:c r="F23" s="68" t="n">
        <x:f>B23*D23*12</x:f>
        <x:v>1920</x:v>
      </x:c>
    </x:row>
    <x:row r="24" ht="34" customHeight="1">
      <x:c r="A24" s="26" t="str">
        <x:v>۲۰۰نفر اتنسی پایه؛ سالانه تومان، بدون تخفیف</x:v>
      </x:c>
      <x:c r="B24" s="62" t="n">
        <x:v>200</x:v>
      </x:c>
      <x:c r="C24" s="64" t="n">
        <x:v>35000</x:v>
      </x:c>
      <x:c r="D24" s="64" t="n">
        <x:v>35000</x:v>
      </x:c>
      <x:c r="E24" s="68" t="n">
        <x:f>B24*C24*12</x:f>
        <x:v>84000000</x:v>
      </x:c>
      <x:c r="F24" s="68" t="n">
        <x:f>B24*D24*12</x:f>
        <x:v>84000000</x:v>
      </x:c>
    </x:row>
    <x:row r="25" ht="34" customHeight="1">
      <x:c r="A25" s="26" t="str">
        <x:v>RaaS ربات L4؛ ۳۶ماهUSD</x:v>
      </x:c>
      <x:c r="B25" s="62" t="n">
        <x:v>36</x:v>
      </x:c>
      <x:c r="C25" s="64" t="n">
        <x:v>999</x:v>
      </x:c>
      <x:c r="D25" s="64" t="n">
        <x:v>999</x:v>
      </x:c>
      <x:c r="E25" s="68" t="n">
        <x:f>B25*C25</x:f>
        <x:v>35964</x:v>
      </x:c>
      <x:c r="F25" s="68" t="n">
        <x:f>B25*D25</x:f>
        <x:v>35964</x:v>
      </x:c>
    </x:row>
    <x:row r="26" ht="34" customHeight="1">
      <x:c r="A26" s="26" t="str">
        <x:v>قهوه و پاپ‌کورن؛ تجهیزات تومان</x:v>
      </x:c>
      <x:c r="B26" s="62" t="n">
        <x:v>1</x:v>
      </x:c>
      <x:c r="C26" s="64" t="n">
        <x:v>1140000000</x:v>
      </x:c>
      <x:c r="D26" s="64" t="n">
        <x:v>780000000</x:v>
      </x:c>
      <x:c r="E26" s="68" t="n">
        <x:f>C26+D26</x:f>
        <x:v>1920000000</x:v>
      </x:c>
      <x:c r="F26" s="68" t="n">
        <x:f>C26+D26</x:f>
        <x:v>1920000000</x:v>
      </x:c>
    </x:row>
    <x:row r="27" ht="34" customHeight="1">
      <x:c r="A27" s="26"/>
      <x:c r="B27" s="26"/>
      <x:c r="C27" s="26"/>
      <x:c r="D27" s="26"/>
      <x:c r="E27" s="26"/>
      <x:c r="F27" s="26"/>
    </x:row>
    <x:row r="28" ht="34" customHeight="1">
      <x:c r="A28" s="26" t="str">
        <x:v>خروجی‌های مثال ارز و دامنه متفاوت دارند؛ قابل جمع نیستند. فرض یک گیت‌وی نیازمند آزمون پوشش است. پرداخت اجاره با مالکیت خرید یکسان نیست. مثال‌ها مالیات/حمل/نصب/مصرفی را اضافه نمی‌کنند.</x:v>
      </x:c>
      <x:c r="B28" s="26"/>
      <x:c r="C28" s="26"/>
      <x:c r="D28" s="26"/>
      <x:c r="E28" s="26"/>
      <x:c r="F28" s="26"/>
    </x:row>
    <x:row r="29" ht="34" customHeight="1">
      <x:c r="A29" s="26"/>
      <x:c r="B29" s="26"/>
      <x:c r="C29" s="26"/>
      <x:c r="D29" s="26"/>
      <x:c r="E29" s="26"/>
      <x:c r="F29" s="26"/>
    </x:row>
  </x:sheetData>
  <x:mergeCells>
    <x:mergeCell ref="A1:F1"/>
    <x:mergeCell ref="A2:F3"/>
    <x:mergeCell ref="A28:F29"/>
  </x:mergeCells>
  <x:pageMargins left="0.7" right="0.7" top="0.75" bottom="0.75" header="0.3" footer="0.3"/>
  <x:legacyDrawing xmlns:r="http://schemas.openxmlformats.org/officeDocument/2006/relationships" r:id="R29ed517d014d43f1"/>
</x:worksheet>
</file>

<file path=xl/worksheets/sheet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36" hidden="0" customWidth="1"/>
    <x:col min="3" max="3" width="23" hidden="0" customWidth="1"/>
    <x:col min="4" max="4" width="25" hidden="0" customWidth="1"/>
    <x:col min="5" max="5" width="34" hidden="0" customWidth="1"/>
    <x:col min="6" max="6" width="42" hidden="0" customWidth="1"/>
    <x:col min="7" max="7" width="36" hidden="0" customWidth="1"/>
    <x:col min="8" max="8" width="48" hidden="0" customWidth="1"/>
    <x:col min="9" max="9" width="36" hidden="0" customWidth="1"/>
    <x:col min="10" max="10" width="46" hidden="0" customWidth="1"/>
    <x:col min="11" max="11" width="24" hidden="0" customWidth="1"/>
    <x:col min="12" max="12" width="18" hidden="0" customWidth="1"/>
    <x:col min="13" max="13" width="18" hidden="0" customWidth="1"/>
    <x:col min="14" max="14" width="24" hidden="0" customWidth="1"/>
    <x:col min="15" max="15" width="24" hidden="0" customWidth="1"/>
    <x:col min="16" max="16" width="46" hidden="0" customWidth="1"/>
    <x:col min="17" max="17" width="56" hidden="0" customWidth="1"/>
  </x:cols>
  <x:sheetData>
    <x:row r="1" ht="34" customHeight="1">
      <x:c r="A1" s="9" t="str">
        <x:v>۱۰۲ پرونده تصمیم — بنچمارک ایران، سپس خارج</x:v>
      </x:c>
      <x:c r="B1" s="9"/>
      <x:c r="C1" s="9"/>
      <x:c r="D1" s="9"/>
      <x:c r="E1" s="9"/>
      <x:c r="F1" s="9"/>
      <x:c r="G1" s="9"/>
      <x:c r="H1" s="9"/>
      <x:c r="I1" s="9"/>
      <x:c r="J1" s="9"/>
      <x:c r="K1" s="9"/>
      <x:c r="L1" s="9"/>
      <x:c r="M1" s="9"/>
      <x:c r="N1" s="9"/>
      <x:c r="O1" s="9"/>
      <x:c r="P1" s="9"/>
      <x:c r="Q1" s="9"/>
    </x:row>
    <x:row r="2" ht="42" customHeight="1">
      <x:c r="A2" s="14" t="str">
        <x:v>قیمت جزء/اشتراک با هزینه کل فرق دارد. ستون‌های سناریو، فرض تحلیلیِ قابل تغییرند؛ نه تعرفه بازار. ارقام بدون پیش‌فاکتور و آزمون پذیرش‌اند.</x:v>
      </x:c>
      <x:c r="B2" s="14"/>
      <x:c r="C2" s="14"/>
      <x:c r="D2" s="14"/>
      <x:c r="E2" s="14"/>
      <x:c r="F2" s="14"/>
      <x:c r="G2" s="14"/>
      <x:c r="H2" s="14"/>
      <x:c r="I2" s="14"/>
      <x:c r="J2" s="14"/>
      <x:c r="K2" s="14"/>
      <x:c r="L2" s="14"/>
      <x:c r="M2" s="14"/>
      <x:c r="N2" s="14"/>
      <x:c r="O2" s="14"/>
      <x:c r="P2" s="14"/>
      <x:c r="Q2" s="14"/>
    </x:row>
    <x:row r="3">
      <x:c r="A3" s="6"/>
      <x:c r="B3" s="6"/>
      <x:c r="C3" s="6"/>
      <x:c r="D3" s="6"/>
      <x:c r="E3" s="6"/>
      <x:c r="F3" s="6"/>
      <x:c r="G3" s="6"/>
      <x:c r="H3" s="6"/>
      <x:c r="I3" s="6"/>
      <x:c r="J3" s="6"/>
      <x:c r="K3" s="6"/>
      <x:c r="L3" s="6"/>
      <x:c r="M3" s="6"/>
      <x:c r="N3" s="6"/>
      <x:c r="O3" s="6"/>
      <x:c r="P3" s="6"/>
      <x:c r="Q3" s="6"/>
    </x:row>
    <x:row r="4" ht="42" customHeight="1">
      <x:c r="A4" s="21" t="str">
        <x:v>شناسه</x:v>
      </x:c>
      <x:c r="B4" s="21" t="str">
        <x:v>طرح یا محصول</x:v>
      </x:c>
      <x:c r="C4" s="21" t="str">
        <x:v>خانواده</x:v>
      </x:c>
      <x:c r="D4" s="21" t="str">
        <x:v>شناسه‌های پیشین</x:v>
      </x:c>
      <x:c r="E4" s="21" t="str">
        <x:v>وضعیت شاهد ایران</x:v>
      </x:c>
      <x:c r="F4" s="21" t="str">
        <x:v>بنچمارک ایران</x:v>
      </x:c>
      <x:c r="G4" s="21" t="str">
        <x:v>قیمت مشاهده‌شده ایران</x:v>
      </x:c>
      <x:c r="H4" s="21" t="str">
        <x:v>بنچمارک خارج</x:v>
      </x:c>
      <x:c r="I4" s="21" t="str">
        <x:v>قیمت مشاهده‌شده خارج</x:v>
      </x:c>
      <x:c r="J4" s="21" t="str">
        <x:v>دامنه کوچک پیشنهادی</x:v>
      </x:c>
      <x:c r="K4" s="21" t="str">
        <x:v>رده سناریوی اتصال</x:v>
      </x:c>
      <x:c r="L4" s="21" t="str">
        <x:v>کمینه نفرساعت</x:v>
      </x:c>
      <x:c r="M4" s="21" t="str">
        <x:v>بیشینه نفرساعت</x:v>
      </x:c>
      <x:c r="N4" s="21" t="str">
        <x:v>سناریوی کم؛ میلیون تومان</x:v>
      </x:c>
      <x:c r="O4" s="21" t="str">
        <x:v>سناریوی زیاد؛ میلیون تومان</x:v>
      </x:c>
      <x:c r="P4" s="21" t="str">
        <x:v>هشدار یا شرط</x:v>
      </x:c>
      <x:c r="Q4" s="21" t="str">
        <x:v>نشانی منابع</x:v>
      </x:c>
    </x:row>
    <x:row r="5" ht="95" customHeight="1">
      <x:c r="A5" s="26" t="str">
        <x:v>BP001</x:v>
      </x:c>
      <x:c r="B5" s="26" t="str">
        <x:v>مدیریت محتوای نمایشگر و ساینیج</x:v>
      </x:c>
      <x:c r="C5" s="26" t="str">
        <x:v>تبلیغات و بازاریابی</x:v>
      </x:c>
      <x:c r="D5" s="26" t="str">
        <x:v>M01، I22، HC07</x:v>
      </x:c>
      <x:c r="E5" s="26" t="str">
        <x:v>عرضه/نمونه مرتبط؛ استقرار فامیلی تأیید نشده</x:v>
      </x:c>
      <x:c r="F5" s="26" t="str">
        <x:v>رایبرد — تعرفه رایبرد
پارسی‌بیت — مجوز و پشتیبانی ساینیج پارسی‌بیت</x:v>
      </x:c>
      <x:c r="G5" s="26" t="str">
        <x:v>PQ033؛ 12,000,000 تومان / نمایشگر
PQ034؛ 10,000,000 تومان / نمایشگر</x:v>
      </x:c>
      <x:c r="H5" s="26" t="str">
        <x:v>GR048؛ Cencosud Media؛ آغاز فعالیت و حضور منطقه‌ای اعلام‌شده
GR056؛ Majid Al Futtaim / Advertima؛ توسعه اعلام‌شده
Yodeck — پلن‌های Yodeck</x:v>
      </x:c>
      <x:c r="I5" s="26" t="str">
        <x:v>PQ047؛ 8 USD / نمایشگر/ماه
PQ048؛ 12 USD / نمایشگر/ماه
PQ049؛ 16 USD / نمایشگر/ماه</x:v>
      </x:c>
      <x:c r="J5" s="26" t="str">
        <x:v>پنج نمایشگر موجود و زمان‌بندی یک کمپین با ثبت پخش</x:v>
      </x:c>
      <x:c r="K5" s="26" t="str">
        <x:v>L2</x:v>
      </x:c>
      <x:c r="L5" s="50" t="n">
        <x:v>400</x:v>
      </x:c>
      <x:c r="M5" s="50" t="n">
        <x:v>800</x:v>
      </x:c>
      <x:c r="N5" s="70" t="n">
        <x:f>IF(L5="","",L5*'مدل هزینه'!$B$6/1000000)</x:f>
        <x:v>240</x:v>
      </x:c>
      <x:c r="O5" s="70" t="n">
        <x:f>IF(M5="","",M5*'مدل هزینه'!$B$8/1000000)</x:f>
        <x:v>1200</x:v>
      </x:c>
      <x:c r="P5" s="26" t="str">
        <x:v>تطبیق نسخه محتوا و اثبات پخش؛ نمایشگر و CMS جداست</x:v>
      </x:c>
      <x:c r="Q5" s="26" t="str">
        <x:v>https://www.rayboard.ir/
https://parsibit.ir/digital-signage-solution/pricing/
https://www.cencosud.com/en/centro-de-medios/cencosud-media-en-brasil
https://www.majidalfuttaim.com/en/media-centre/press-releases/detail/2025/05/majid-al-futtaim-s-precision-media-and-advertima-set-new-retail-media-benchmark-with-ai-rollout-in-carrefour-stores
https://www.yodeck.com/pricing/</x:v>
      </x:c>
    </x:row>
    <x:row r="6" ht="95" customHeight="1">
      <x:c r="A6" s="26" t="str">
        <x:v>BP002</x:v>
      </x:c>
      <x:c r="B6" s="26" t="str">
        <x:v>نمایشگر و کیوسک تبلیغاتی</x:v>
      </x:c>
      <x:c r="C6" s="26" t="str">
        <x:v>تبلیغات و بازاریابی</x:v>
      </x:c>
      <x:c r="D6" s="26" t="str">
        <x:v>M01</x:v>
      </x:c>
      <x:c r="E6" s="26" t="str">
        <x:v>عرضه/نمونه مرتبط؛ استقرار فامیلی تأیید نشده</x:v>
      </x:c>
      <x:c r="F6" s="26" t="str">
        <x:v>دانش‌آوران — استند لمسی ایستاده مدل آیفون
دانش‌آوران — کیوسک چرخشی ۵۵ اینچ</x:v>
      </x:c>
      <x:c r="G6" s="26" t="str">
        <x:v>PQ018؛ 255,000,000 تومان / دستگاه
PQ019؛ 405,000,000 تومان / دستگاه</x:v>
      </x:c>
      <x:c r="H6" s="26" t="str">
        <x:v>GR056؛ Majid Al Futtaim / Advertima؛ توسعه اعلام‌شده</x:v>
      </x:c>
      <x:c r="I6" s="26" t="str">
        <x:v>قیمت عمومی هم‌دامنه ثبت نشده</x:v>
      </x:c>
      <x:c r="J6" s="26" t="str">
        <x:v>یک نمایشگر یا کیوسک با سازه و روشنایی مناسب محل</x:v>
      </x:c>
      <x:c r="K6" s="26" t="str">
        <x:v>L1</x:v>
      </x:c>
      <x:c r="L6" s="50" t="n">
        <x:v>200</x:v>
      </x:c>
      <x:c r="M6" s="50" t="n">
        <x:v>384</x:v>
      </x:c>
      <x:c r="N6" s="70" t="n">
        <x:f>IF(L6="","",L6*'مدل هزینه'!$B$6/1000000)</x:f>
        <x:v>120</x:v>
      </x:c>
      <x:c r="O6" s="70" t="n">
        <x:f>IF(M6="","",M6*'مدل هزینه'!$B$8/1000000)</x:f>
        <x:v>576</x:v>
      </x:c>
      <x:c r="P6" s="26" t="str">
        <x:v>آزمون خوانایی؛ مدل لمسی با LCD ساده یکسان نیست</x:v>
      </x:c>
      <x:c r="Q6" s="26" t="str">
        <x:v>https://daneshavaran.ir/touch-stand-standing-model/
https://daneshavaran.ir/rotating-kiosk/
https://www.majidalfuttaim.com/en/media-centre/press-releases/detail/2025/05/majid-al-futtaim-s-precision-media-and-advertima-set-new-retail-media-benchmark-with-ai-rollout-in-carrefour-stores</x:v>
      </x:c>
    </x:row>
    <x:row r="7" ht="95" customHeight="1">
      <x:c r="A7" s="26" t="str">
        <x:v>BP003</x:v>
      </x:c>
      <x:c r="B7" s="26" t="str">
        <x:v>پنل LED شفاف</x:v>
      </x:c>
      <x:c r="C7" s="26" t="str">
        <x:v>تبلیغات و بازاریابی</x:v>
      </x:c>
      <x:c r="D7" s="26" t="str">
        <x:v>M01</x:v>
      </x:c>
      <x:c r="E7" s="26" t="str">
        <x:v>بنچمارک مستقیم ایرانی در مجموعه احراز نشد</x:v>
      </x:c>
      <x:c r="F7" s="26" t="str">
        <x:v>بنچمارک مستقیم تثبیت نشده</x:v>
      </x:c>
      <x:c r="G7" s="26" t="str">
        <x:v>نیازمند استعلام هم‌دامنه</x:v>
      </x:c>
      <x:c r="H7" s="26" t="str">
        <x:v>Skyleds — LED شفاف Skyleds؛ قیمت بر مترمربع</x:v>
      </x:c>
      <x:c r="I7" s="26" t="str">
        <x:v>PQ062؛ 2,606.10 EUR / مترمربع
PQ063؛ 3,201.10 EUR / مترمربع
PQ064؛ 4,153.10 EUR / مترمربع</x:v>
      </x:c>
      <x:c r="J7" s="26" t="str">
        <x:v>طراحی یک دهانه واقعی با مساحت و فاصله دید مشخص</x:v>
      </x:c>
      <x:c r="K7" s="26" t="str">
        <x:v>نامربوط/نامشخص</x:v>
      </x:c>
      <x:c r="L7" s="50"/>
      <x:c r="M7" s="50"/>
      <x:c r="N7" s="70" t="str">
        <x:f>IF(L7="","",L7*'مدل هزینه'!$B$6/1000000)</x:f>
      </x:c>
      <x:c r="O7" s="70" t="str">
        <x:f>IF(M7="","",M7*'مدل هزینه'!$B$8/1000000)</x:f>
      </x:c>
      <x:c r="P7" s="26" t="str">
        <x:v>قیمت برمترمربع بدون پیکسل‌پیچ، کنترلر و سازه قابل مقایسه نیست</x:v>
      </x:c>
      <x:c r="Q7" s="26" t="str">
        <x:v>https://skyleds.de/shop/led-werbedisplays/transparentes-led-display/</x:v>
      </x:c>
    </x:row>
    <x:row r="8" ht="95" customHeight="1">
      <x:c r="A8" s="26" t="str">
        <x:v>BP004</x:v>
      </x:c>
      <x:c r="B8" s="26" t="str">
        <x:v>فن هولوگرافیک سه‌بعدی</x:v>
      </x:c>
      <x:c r="C8" s="26" t="str">
        <x:v>تبلیغات و بازاریابی</x:v>
      </x:c>
      <x:c r="D8" s="26" t="str">
        <x:v>M01</x:v>
      </x:c>
      <x:c r="E8" s="26" t="str">
        <x:v>بنچمارک مستقیم ایرانی در مجموعه احراز نشد</x:v>
      </x:c>
      <x:c r="F8" s="26" t="str">
        <x:v>بنچمارک مستقیم تثبیت نشده</x:v>
      </x:c>
      <x:c r="G8" s="26" t="str">
        <x:v>نیازمند استعلام هم‌دامنه</x:v>
      </x:c>
      <x:c r="H8" s="26" t="str">
        <x:v>GR042؛ Swarovski / HYPERVSN؛ اجرای کمپین طبق فروشنده</x:v>
      </x:c>
      <x:c r="I8" s="26" t="str">
        <x:v>قیمت عمومی هم‌دامنه ثبت نشده</x:v>
      </x:c>
      <x:c r="J8" s="26" t="str">
        <x:v>یک واحد با محفظه و محتوا و حفاظ مناسب</x:v>
      </x:c>
      <x:c r="K8" s="26" t="str">
        <x:v>L1</x:v>
      </x:c>
      <x:c r="L8" s="50" t="n">
        <x:v>200</x:v>
      </x:c>
      <x:c r="M8" s="50" t="n">
        <x:v>384</x:v>
      </x:c>
      <x:c r="N8" s="70" t="n">
        <x:f>IF(L8="","",L8*'مدل هزینه'!$B$6/1000000)</x:f>
        <x:v>120</x:v>
      </x:c>
      <x:c r="O8" s="70" t="n">
        <x:f>IF(M8="","",M8*'مدل هزینه'!$B$8/1000000)</x:f>
        <x:v>576</x:v>
      </x:c>
      <x:c r="P8" s="26" t="str">
        <x:v>فن مصرفی ارزان با شبکه HYPERVSN سازمانی هم‌رده نیست</x:v>
      </x:c>
      <x:c r="Q8" s="26" t="str">
        <x:v>https://hypervsn.com/case-studies/swarovski-boosts-storefront-marketing-with-hypervsn</x:v>
      </x:c>
    </x:row>
    <x:row r="9" ht="95" customHeight="1">
      <x:c r="A9" s="26" t="str">
        <x:v>BP005</x:v>
      </x:c>
      <x:c r="B9" s="26" t="str">
        <x:v>رادیو و تبلیغ صوتی فروشگاه</x:v>
      </x:c>
      <x:c r="C9" s="26" t="str">
        <x:v>تبلیغات و بازاریابی</x:v>
      </x:c>
      <x:c r="D9" s="26" t="str">
        <x:v>M01</x:v>
      </x:c>
      <x:c r="E9" s="26" t="str">
        <x:v>مؤلفه یا نمونه همجوار؛ تطابق کامل احراز نشده</x:v>
      </x:c>
      <x:c r="F9" s="26" t="str">
        <x:v>پارسی‌بیت — مجوز و پشتیبانی ساینیج پارسی‌بیت
Yodeck — پلن‌های Yodeck</x:v>
      </x:c>
      <x:c r="G9" s="26" t="str">
        <x:v>نیازمند استعلام هم‌دامنه</x:v>
      </x:c>
      <x:c r="H9" s="26" t="str">
        <x:v>GR056؛ Majid Al Futtaim / Advertima؛ توسعه اعلام‌شده
Yodeck — پلن‌های Yodeck</x:v>
      </x:c>
      <x:c r="I9" s="26" t="str">
        <x:v>PQ047؛ 8 USD / نمایشگر/ماه</x:v>
      </x:c>
      <x:c r="J9" s="26" t="str">
        <x:v>یک منطقه صوتی با تقویم، محدودیت شدت و ثبت اجرا</x:v>
      </x:c>
      <x:c r="K9" s="26" t="str">
        <x:v>L1</x:v>
      </x:c>
      <x:c r="L9" s="50" t="n">
        <x:v>200</x:v>
      </x:c>
      <x:c r="M9" s="50" t="n">
        <x:v>384</x:v>
      </x:c>
      <x:c r="N9" s="70" t="n">
        <x:f>IF(L9="","",L9*'مدل هزینه'!$B$6/1000000)</x:f>
        <x:v>120</x:v>
      </x:c>
      <x:c r="O9" s="70" t="n">
        <x:f>IF(M9="","",M9*'مدل هزینه'!$B$8/1000000)</x:f>
        <x:v>576</x:v>
      </x:c>
      <x:c r="P9" s="26" t="str">
        <x:v>مدیریت صدا و حق استفاده محتوا؛ CMS معادل بلندگو و کابل نیست</x:v>
      </x:c>
      <x:c r="Q9" s="26" t="str">
        <x:v>https://parsibit.ir/digital-signage-solution/pricing/
https://www.yodeck.com/pricing/
https://www.majidalfuttaim.com/en/media-centre/press-releases/detail/2025/05/majid-al-futtaim-s-precision-media-and-advertima-set-new-retail-media-benchmark-with-ai-rollout-in-carrefour-stores</x:v>
      </x:c>
    </x:row>
    <x:row r="10" ht="95" customHeight="1">
      <x:c r="A10" s="26" t="str">
        <x:v>BP006</x:v>
      </x:c>
      <x:c r="B10" s="26" t="str">
        <x:v>لوگو پروژکتور ثابت یا چرخشی</x:v>
      </x:c>
      <x:c r="C10" s="26" t="str">
        <x:v>تبلیغات و بازاریابی</x:v>
      </x:c>
      <x:c r="D10" s="26" t="str">
        <x:v>M01، M02</x:v>
      </x:c>
      <x:c r="E10" s="26" t="str">
        <x:v>عرضه/نمونه مرتبط؛ استقرار فامیلی تأیید نشده</x:v>
      </x:c>
      <x:c r="F10" s="26" t="str">
        <x:v>آتن — فروشگاه لوگوپروژکتور آتن</x:v>
      </x:c>
      <x:c r="G10" s="26" t="str">
        <x:v>PQ022؛ 9,500,000 تومان / دستگاه
PQ023؛ 21,000,000 تومان / دستگاه
PQ024؛ 31,000,000 تومان / دستگاه
PQ025؛ 46,000,000 تومان / دستگاه</x:v>
      </x:c>
      <x:c r="H10" s="26" t="str">
        <x:v>شکاف پژوهشی</x:v>
      </x:c>
      <x:c r="I10" s="26" t="str">
        <x:v>قیمت عمومی هم‌دامنه ثبت نشده</x:v>
      </x:c>
      <x:c r="J10" s="26" t="str">
        <x:v>یک محل، فاصله نصب، روشنایی و طرح مورد تأیید</x:v>
      </x:c>
      <x:c r="K10" s="26" t="str">
        <x:v>نامربوط/نامشخص</x:v>
      </x:c>
      <x:c r="L10" s="50"/>
      <x:c r="M10" s="50"/>
      <x:c r="N10" s="70" t="str">
        <x:f>IF(L10="","",L10*'مدل هزینه'!$B$6/1000000)</x:f>
      </x:c>
      <x:c r="O10" s="70" t="str">
        <x:f>IF(M10="","",M10*'مدل هزینه'!$B$8/1000000)</x:f>
      </x:c>
      <x:c r="P10" s="26" t="str">
        <x:v>گوبوی ثابت، بازی تعاملی نیست؛ موجودی مدل‌های فروخته‌شده کنترل شود</x:v>
      </x:c>
      <x:c r="Q10" s="26" t="str">
        <x:v>https://atenprojector.com/shop/</x:v>
      </x:c>
    </x:row>
    <x:row r="11" ht="95" customHeight="1">
      <x:c r="A11" s="26" t="str">
        <x:v>BP007</x:v>
      </x:c>
      <x:c r="B11" s="26" t="str">
        <x:v>پخش رایحه متمرکز یا موضعی</x:v>
      </x:c>
      <x:c r="C11" s="26" t="str">
        <x:v>تبلیغات و بازاریابی</x:v>
      </x:c>
      <x:c r="D11" s="26" t="str">
        <x:v>M02</x:v>
      </x:c>
      <x:c r="E11" s="26" t="str">
        <x:v>عرضه/نمونه مرتبط؛ استقرار فامیلی تأیید نشده</x:v>
      </x:c>
      <x:c r="F11" s="26" t="str">
        <x:v>ارغوان سنت — خوشبوکننده Mini 1
ارغوان سنت — سرنخ خوشبوکننده S1</x:v>
      </x:c>
      <x:c r="G11" s="26" t="str">
        <x:v>PQ020؛ 3,500,000 تومان / دستگاه
PQ021؛ 8,500,000 تومان / دستگاه</x:v>
      </x:c>
      <x:c r="H11" s="26" t="str">
        <x:v>GR043؛ KOOKAÏ / ScentAir؛ مطالعه موردی فروشنده</x:v>
      </x:c>
      <x:c r="I11" s="26" t="str">
        <x:v>قیمت عمومی هم‌دامنه ثبت نشده</x:v>
      </x:c>
      <x:c r="J11" s="26" t="str">
        <x:v>آزمون محدود و اختیاری در یک فضای جدا از مواد غذایی</x:v>
      </x:c>
      <x:c r="K11" s="26" t="str">
        <x:v>نامربوط/نامشخص</x:v>
      </x:c>
      <x:c r="L11" s="50"/>
      <x:c r="M11" s="50"/>
      <x:c r="N11" s="70" t="str">
        <x:f>IF(L11="","",L11*'مدل هزینه'!$B$6/1000000)</x:f>
      </x:c>
      <x:c r="O11" s="70" t="str">
        <x:f>IF(M11="","",M11*'مدل هزینه'!$B$8/1000000)</x:f>
      </x:c>
      <x:c r="P11" s="26" t="str">
        <x:v>حساسیت، تهویه، مصرف روغن و شکایت؛ اثر افزایش فروش تضمین نشده</x:v>
      </x:c>
      <x:c r="Q11" s="26" t="str">
        <x:v>https://arghavanscent.ir/mini1/
https://arghavanscent.ir/دستگاه-خوشبو-کننده-s1/
https://scentair.com/de_de/newscenter/kookai-scentair-im-duftmarketing/</x:v>
      </x:c>
    </x:row>
    <x:row r="12" ht="95" customHeight="1">
      <x:c r="A12" s="26" t="str">
        <x:v>BP008</x:v>
      </x:c>
      <x:c r="B12" s="26" t="str">
        <x:v>کف یا دیوار تعاملی و گیم‌بار</x:v>
      </x:c>
      <x:c r="C12" s="26" t="str">
        <x:v>تبلیغات و بازاریابی</x:v>
      </x:c>
      <x:c r="D12" s="26" t="str">
        <x:v>M02</x:v>
      </x:c>
      <x:c r="E12" s="26" t="str">
        <x:v>بنچمارک مستقیم ایرانی در مجموعه احراز نشد</x:v>
      </x:c>
      <x:c r="F12" s="26" t="str">
        <x:v>بنچمارک مستقیم تثبیت نشده</x:v>
      </x:c>
      <x:c r="G12" s="26" t="str">
        <x:v>نیازمند استعلام هم‌دامنه</x:v>
      </x:c>
      <x:c r="H12" s="26" t="str">
        <x:v>LUMOplay — تعرفه LUMOplay
LUMOplay — راهنمای سخت‌افزار کف تعاملی</x:v>
      </x:c>
      <x:c r="I12" s="26" t="str">
        <x:v>PQ067؛ 2,000 تا 2,500 USD / دستگاه
PQ065؛ 263.11 $؛ نوع دلار تأییدنشده / سیستم/سال
PQ066؛ 585.10 $؛ نوع دلار تأییدنشده / سیستم/سال</x:v>
      </x:c>
      <x:c r="J12" s="26" t="str">
        <x:v>یک سناریوی بازی با حسگر، تصویر، کالیبراسیون و نظارت</x:v>
      </x:c>
      <x:c r="K12" s="26" t="str">
        <x:v>L3</x:v>
      </x:c>
      <x:c r="L12" s="50" t="n">
        <x:v>664</x:v>
      </x:c>
      <x:c r="M12" s="50" t="n">
        <x:v>1440</x:v>
      </x:c>
      <x:c r="N12" s="70" t="n">
        <x:f>IF(L12="","",L12*'مدل هزینه'!$B$6/1000000)</x:f>
        <x:v>398.4</x:v>
      </x:c>
      <x:c r="O12" s="70" t="n">
        <x:f>IF(M12="","",M12*'مدل هزینه'!$B$8/1000000)</x:f>
        <x:v>2160</x:v>
      </x:c>
      <x:c r="P12" s="26" t="str">
        <x:v>پروژکتور تنها قیمت سامانه بازی نیست؛ ایمنی عبور و کودکان</x:v>
      </x:c>
      <x:c r="Q12" s="26" t="str">
        <x:v>https://www.lumoplay.com/software-pricing
https://help.lumoplay.com/hc/en-us/articles/360042794093-Portable-interactive-floor-guide</x:v>
      </x:c>
    </x:row>
    <x:row r="13" ht="95" customHeight="1">
      <x:c r="A13" s="26" t="str">
        <x:v>BP009</x:v>
      </x:c>
      <x:c r="B13" s="26" t="str">
        <x:v>واقعیت افزوده و پیش‌نمایش محصول</x:v>
      </x:c>
      <x:c r="C13" s="26" t="str">
        <x:v>تبلیغات و بازاریابی</x:v>
      </x:c>
      <x:c r="D13" s="26" t="str">
        <x:v>M02</x:v>
      </x:c>
      <x:c r="E13" s="26" t="str">
        <x:v>بنچمارک مستقیم ایرانی در مجموعه احراز نشد</x:v>
      </x:c>
      <x:c r="F13" s="26" t="str">
        <x:v>بنچمارک مستقیم تثبیت نشده</x:v>
      </x:c>
      <x:c r="G13" s="26" t="str">
        <x:v>نیازمند استعلام هم‌دامنه</x:v>
      </x:c>
      <x:c r="H13" s="26" t="str">
        <x:v>GR044؛ IKEA / Geomagical Labs؛ خدمت عرضه‌شده</x:v>
      </x:c>
      <x:c r="I13" s="26" t="str">
        <x:v>قیمت عمومی هم‌دامنه ثبت نشده</x:v>
      </x:c>
      <x:c r="J13" s="26" t="str">
        <x:v>یک دسته محدود با مدل سه‌بعدی و راهنمای بدون AR</x:v>
      </x:c>
      <x:c r="K13" s="26" t="str">
        <x:v>L3</x:v>
      </x:c>
      <x:c r="L13" s="50" t="n">
        <x:v>664</x:v>
      </x:c>
      <x:c r="M13" s="50" t="n">
        <x:v>1440</x:v>
      </x:c>
      <x:c r="N13" s="70" t="n">
        <x:f>IF(L13="","",L13*'مدل هزینه'!$B$6/1000000)</x:f>
        <x:v>398.4</x:v>
      </x:c>
      <x:c r="O13" s="70" t="n">
        <x:f>IF(M13="","",M13*'مدل هزینه'!$B$8/1000000)</x:f>
        <x:v>2160</x:v>
      </x:c>
      <x:c r="P13" s="26" t="str">
        <x:v>دقت اندازه و هزینه تولید محتوای سه‌بعدی؛ امکان استفاده ساده باقی بماند</x:v>
      </x:c>
      <x:c r="Q13" s="26" t="str">
        <x:v>https://www.ikea.com/ca/en/newsroom/corporate-news/ikea-canada-launches-new-ai-powered-digital-experience-called-ikea-kreativ-pubf6d0f5d0</x:v>
      </x:c>
    </x:row>
    <x:row r="14" ht="95" customHeight="1">
      <x:c r="A14" s="26" t="str">
        <x:v>BP010</x:v>
      </x:c>
      <x:c r="B14" s="26" t="str">
        <x:v>سازه چاپی و شلف‌هدر و استاپر</x:v>
      </x:c>
      <x:c r="C14" s="26" t="str">
        <x:v>تبلیغات و بازاریابی</x:v>
      </x:c>
      <x:c r="D14" s="26" t="str">
        <x:v>M03</x:v>
      </x:c>
      <x:c r="E14" s="26" t="str">
        <x:v>بنچمارک مستقیم ایرانی در مجموعه احراز نشد</x:v>
      </x:c>
      <x:c r="F14" s="26" t="str">
        <x:v>بنچمارک مستقیم تثبیت نشده</x:v>
      </x:c>
      <x:c r="G14" s="26" t="str">
        <x:v>نیازمند استعلام هم‌دامنه</x:v>
      </x:c>
      <x:c r="H14" s="26" t="str">
        <x:v>GR066؛ Smollan؛ خدمت تجاری معرفی‌شده</x:v>
      </x:c>
      <x:c r="I14" s="26" t="str">
        <x:v>قیمت عمومی هم‌دامنه ثبت نشده</x:v>
      </x:c>
      <x:c r="J14" s="26" t="str">
        <x:v>یک کمپین با تعداد، جنس، ابعاد، نصب و جمع‌آوری مشخص</x:v>
      </x:c>
      <x:c r="K14" s="26" t="str">
        <x:v>نامربوط/نامشخص</x:v>
      </x:c>
      <x:c r="L14" s="50"/>
      <x:c r="M14" s="50"/>
      <x:c r="N14" s="70" t="str">
        <x:f>IF(L14="","",L14*'مدل هزینه'!$B$6/1000000)</x:f>
      </x:c>
      <x:c r="O14" s="70" t="str">
        <x:f>IF(M14="","",M14*'مدل هزینه'!$B$8/1000000)</x:f>
      </x:c>
      <x:c r="P14" s="26" t="str">
        <x:v>قیمت چاپ خام با طراحی و اجرای کامل کمپین برابر نیست</x:v>
      </x:c>
      <x:c r="Q14" s="26" t="str">
        <x:v>https://smollan.com/what-we-do/activation-experience/experiential</x:v>
      </x:c>
    </x:row>
    <x:row r="15" ht="95" customHeight="1">
      <x:c r="A15" s="26" t="str">
        <x:v>BP011</x:v>
      </x:c>
      <x:c r="B15" s="26" t="str">
        <x:v>محتوا و همکاری اینفلوئنسر</x:v>
      </x:c>
      <x:c r="C15" s="26" t="str">
        <x:v>تبلیغات و بازاریابی</x:v>
      </x:c>
      <x:c r="D15" s="26" t="str">
        <x:v>M04</x:v>
      </x:c>
      <x:c r="E15" s="26" t="str">
        <x:v>مؤلفه یا نمونه همجوار؛ تطابق کامل احراز نشده</x:v>
      </x:c>
      <x:c r="F15" s="26" t="str">
        <x:v>یکتانت — پلتفرم تبلیغات یکتانت</x:v>
      </x:c>
      <x:c r="G15" s="26" t="str">
        <x:v>نیازمند استعلام هم‌دامنه</x:v>
      </x:c>
      <x:c r="H15" s="26" t="str">
        <x:v>GR020؛ JD.com / JD Cloud؛ اجرای کمپین و محصول تجاری اعلام‌شده</x:v>
      </x:c>
      <x:c r="I15" s="26" t="str">
        <x:v>قیمت عمومی هم‌دامنه ثبت نشده</x:v>
      </x:c>
      <x:c r="J15" s="26" t="str">
        <x:v>یک کمپین محدود با حقوق محتوا، تقویم و رهگیری مجاز</x:v>
      </x:c>
      <x:c r="K15" s="26" t="str">
        <x:v>L1</x:v>
      </x:c>
      <x:c r="L15" s="50" t="n">
        <x:v>200</x:v>
      </x:c>
      <x:c r="M15" s="50" t="n">
        <x:v>384</x:v>
      </x:c>
      <x:c r="N15" s="70" t="n">
        <x:f>IF(L15="","",L15*'مدل هزینه'!$B$6/1000000)</x:f>
        <x:v>120</x:v>
      </x:c>
      <x:c r="O15" s="70" t="n">
        <x:f>IF(M15="","",M15*'مدل هزینه'!$B$8/1000000)</x:f>
        <x:v>576</x:v>
      </x:c>
      <x:c r="P15" s="26" t="str">
        <x:v>تعرفه به خالق، کانال و حقوق استفاده وابسته است؛ فالوئر فروش نیست</x:v>
      </x:c>
      <x:c r="Q15" s="26" t="str">
        <x:v>https://www.yektanet.com/
https://jdcorporateblog.com/jd-com-debuts-ai-digital-representative-of-founder-richard-liu-during-livestream-drawing-20-million-views-in-under-one-hour/</x:v>
      </x:c>
    </x:row>
    <x:row r="16" ht="95" customHeight="1">
      <x:c r="A16" s="26" t="str">
        <x:v>BP012</x:v>
      </x:c>
      <x:c r="B16" s="26" t="str">
        <x:v>مدیریت کمپین و آزمایش پروموشن</x:v>
      </x:c>
      <x:c r="C16" s="26" t="str">
        <x:v>تبلیغات و بازاریابی</x:v>
      </x:c>
      <x:c r="D16" s="26" t="str">
        <x:v>M05، I18</x:v>
      </x:c>
      <x:c r="E16" s="26" t="str">
        <x:v>مؤلفه یا نمونه همجوار؛ تطابق کامل احراز نشده</x:v>
      </x:c>
      <x:c r="F16" s="26" t="str">
        <x:v>یکتانت — پلتفرم تبلیغات یکتانت</x:v>
      </x:c>
      <x:c r="G16" s="26" t="str">
        <x:v>نیازمند استعلام هم‌دامنه</x:v>
      </x:c>
      <x:c r="H16" s="26" t="str">
        <x:v>GR048؛ Cencosud Media؛ آغاز فعالیت و حضور منطقه‌ای اعلام‌شده
GR068؛ Fang و همکاران / CESifo؛ مقاله کاری با آزمایش میدانی گزارش‌شده</x:v>
      </x:c>
      <x:c r="I16" s="26" t="str">
        <x:v>قیمت عمومی هم‌دامنه ثبت نشده</x:v>
      </x:c>
      <x:c r="J16" s="26" t="str">
        <x:v>یک کمپین و گروه مقایسه با داده صندوق و هزینه</x:v>
      </x:c>
      <x:c r="K16" s="26" t="str">
        <x:v>L3</x:v>
      </x:c>
      <x:c r="L16" s="50" t="n">
        <x:v>664</x:v>
      </x:c>
      <x:c r="M16" s="50" t="n">
        <x:v>1440</x:v>
      </x:c>
      <x:c r="N16" s="70" t="n">
        <x:f>IF(L16="","",L16*'مدل هزینه'!$B$6/1000000)</x:f>
        <x:v>398.4</x:v>
      </x:c>
      <x:c r="O16" s="70" t="n">
        <x:f>IF(M16="","",M16*'مدل هزینه'!$B$8/1000000)</x:f>
        <x:v>2160</x:v>
      </x:c>
      <x:c r="P16" s="26" t="str">
        <x:v>فروش جلوکشیده و جابه‌جایی مشتری باید از سود افزایشی جدا شود</x:v>
      </x:c>
      <x:c r="Q16" s="26" t="str">
        <x:v>https://www.yektanet.com/
https://www.cencosud.com/en/centro-de-medios/cencosud-media-en-brasil
https://www.ifo.de/en/cesifo/publications/2026/working-paper/generative-ai-and-sales-productivity-field-experiments-online</x:v>
      </x:c>
    </x:row>
    <x:row r="17" ht="95" customHeight="1">
      <x:c r="A17" s="26" t="str">
        <x:v>BP013</x:v>
      </x:c>
      <x:c r="B17" s="26" t="str">
        <x:v>قیمت الکترونیکی قفسه ESL</x:v>
      </x:c>
      <x:c r="C17" s="26" t="str">
        <x:v>تجهیزات فروشگاهی</x:v>
      </x:c>
      <x:c r="D17" s="26" t="str">
        <x:v>M06، I02، I12، HC05</x:v>
      </x:c>
      <x:c r="E17" s="26" t="str">
        <x:v>عرضه/نمونه مرتبط؛ استقرار فامیلی تأیید نشده</x:v>
      </x:c>
      <x:c r="F17" s="26" t="str">
        <x:v>هوپاد داده — معرفی ESL هوپاد</x:v>
      </x:c>
      <x:c r="G17" s="26" t="str">
        <x:v>نیازمند استعلام هم‌دامنه</x:v>
      </x:c>
      <x:c r="H17" s="26" t="str">
        <x:v>GR001؛ Walmart؛ خدمت معرفی‌شده در بهره‌برداری
GR033؛ Asda؛ گسترش اعلام‌شده پس از آزمون
GR047؛ Sobeys / Pricer / JRTech؛ قرارداد توسعه اعلام‌شده
SOLUM — توضیح قیمت برچسب و گیت‌وی</x:v>
      </x:c>
      <x:c r="I17" s="26" t="str">
        <x:v>PQ036؛ 5 تا 10 USD / برچسب
PQ037؛ 300 تا 400 USD / گیت‌وی</x:v>
      </x:c>
      <x:c r="J17" s="26" t="str">
        <x:v>۳۰۰ برچسب فرضی و گیت‌وی با پوشش اثبات‌شده؛ یک رابط قیمت</x:v>
      </x:c>
      <x:c r="K17" s="26" t="str">
        <x:v>L2</x:v>
      </x:c>
      <x:c r="L17" s="50" t="n">
        <x:v>400</x:v>
      </x:c>
      <x:c r="M17" s="50" t="n">
        <x:v>800</x:v>
      </x:c>
      <x:c r="N17" s="70" t="n">
        <x:f>IF(L17="","",L17*'مدل هزینه'!$B$6/1000000)</x:f>
        <x:v>240</x:v>
      </x:c>
      <x:c r="O17" s="70" t="n">
        <x:f>IF(M17="","",M17*'مدل هزینه'!$B$8/1000000)</x:f>
        <x:v>1200</x:v>
      </x:c>
      <x:c r="P17" s="26" t="str">
        <x:v>تطبیق قیمت صندوق، تحویل نسخه و دوام؛ قیمت قطعه، قیمت پروژه نیست</x:v>
      </x:c>
      <x:c r="Q17" s="26" t="str">
        <x:v>https://houpaddata.com/fa/portfolio-item/برچسب-الکترونیکی-قفسه-esl/
https://corporate.walmart.com/news/2026/10/cant-find-it-walmart-can-light-the-way
https://corporate.asda.com/newsroom/2025/03/10/asda-rolls-out-new-electronic-shelf-label-across-express-stores
https://www.pricer.com/press-release/pricer-and-jrtech-solutions-signs-51-musd-digital-store-transformation-deal-with-sobeys-in-canada
https://www.solum-group.com/us/en/resources/business-cases/insight-detail.retail.are-electronic-shelf-labels-expensive</x:v>
      </x:c>
    </x:row>
    <x:row r="18" ht="95" customHeight="1">
      <x:c r="A18" s="26" t="str">
        <x:v>BP014</x:v>
      </x:c>
      <x:c r="B18" s="26" t="str">
        <x:v>ترولی بارکدی یا تشخیص خودکار</x:v>
      </x:c>
      <x:c r="C18" s="26" t="str">
        <x:v>تجهیزات فروشگاهی</x:v>
      </x:c>
      <x:c r="D18" s="26" t="str">
        <x:v>M07، I03</x:v>
      </x:c>
      <x:c r="E18" s="26" t="str">
        <x:v>بنچمارک مستقیم ایرانی در مجموعه احراز نشد</x:v>
      </x:c>
      <x:c r="F18" s="26" t="str">
        <x:v>بنچمارک مستقیم تثبیت نشده</x:v>
      </x:c>
      <x:c r="G18" s="26" t="str">
        <x:v>نیازمند استعلام هم‌دامنه</x:v>
      </x:c>
      <x:c r="H18" s="26" t="str">
        <x:v>GR027؛ Woolworths؛ راه‌اندازی در دو محل و گسترش برنامه‌ریزی‌شده
GR076؛ Morrisons / Caper؛ پایلوت فعال اعلام‌شده درشعبه</x:v>
      </x:c>
      <x:c r="I18" s="26" t="str">
        <x:v>قیمت عمومی هم‌دامنه ثبت نشده</x:v>
      </x:c>
      <x:c r="J18" s="26" t="str">
        <x:v>پنج چرخ موجود با بارکد؛ CV و ترازو قرارداد مرحله جدا</x:v>
      </x:c>
      <x:c r="K18" s="26" t="str">
        <x:v>L3</x:v>
      </x:c>
      <x:c r="L18" s="50" t="n">
        <x:v>664</x:v>
      </x:c>
      <x:c r="M18" s="50" t="n">
        <x:v>1440</x:v>
      </x:c>
      <x:c r="N18" s="70" t="n">
        <x:f>IF(L18="","",L18*'مدل هزینه'!$B$6/1000000)</x:f>
        <x:v>398.4</x:v>
      </x:c>
      <x:c r="O18" s="70" t="n">
        <x:f>IF(M18="","",M18*'مدل هزینه'!$B$8/1000000)</x:f>
        <x:v>2160</x:v>
      </x:c>
      <x:c r="P18" s="26" t="str">
        <x:v>شارژ و نظافت و خطای سبد؛ تبلت تنها با چرخ هوشمند کامل یکسان نیست</x:v>
      </x:c>
      <x:c r="Q18" s="26" t="str">
        <x:v>https://www.woolworthsgroup.com.au/au/en/our-newsroom/media-releases/latest-news/2026/new-smart-trolleys-roll-out-in-south-australia.html
https://www.morrisons-corporate.com/media-centre/corporate-news/instacarts-smart-trolleys-are-now-available-at-morrisons-preston-in-the-uk/</x:v>
      </x:c>
    </x:row>
    <x:row r="19" ht="95" customHeight="1">
      <x:c r="A19" s="26" t="str">
        <x:v>BP015</x:v>
      </x:c>
      <x:c r="B19" s="26" t="str">
        <x:v>خودپرداخت گروسری و کمک انسانی</x:v>
      </x:c>
      <x:c r="C19" s="26" t="str">
        <x:v>تجهیزات فروشگاهی</x:v>
      </x:c>
      <x:c r="D19" s="26" t="str">
        <x:v>M08، I04</x:v>
      </x:c>
      <x:c r="E19" s="26" t="str">
        <x:v>مؤلفه یا نمونه همجوار؛ تطابق کامل احراز نشده</x:v>
      </x:c>
      <x:c r="F19" s="26" t="str">
        <x:v>دانش‌آوران — کیوسک لمسی پرداخت نوید
GR057؛ شهروند؛ معرفی رسمی؛ دامنه جاری احراز نشده</x:v>
      </x:c>
      <x:c r="G19" s="26" t="str">
        <x:v>PQ017؛ 270,000,000 تومان / دستگاه</x:v>
      </x:c>
      <x:c r="H19" s="26" t="str">
        <x:v>GR029؛ REWE؛ فروشگاه آزمایشی
GR025؛ FairPrice Finest؛ فروشگاه افتتاح‌شده
GR008؛ Sam’s Club؛ استقرار تاریخی اعلام‌شده</x:v>
      </x:c>
      <x:c r="I19" s="26" t="str">
        <x:v>قیمت عمومی هم‌دامنه ثبت نشده</x:v>
      </x:c>
      <x:c r="J19" s="26" t="str">
        <x:v>یک مسیر خودپرداخت متصل به صندوق همراه مسیر عادی</x:v>
      </x:c>
      <x:c r="K19" s="26" t="str">
        <x:v>L4</x:v>
      </x:c>
      <x:c r="L19" s="50" t="n">
        <x:v>1120</x:v>
      </x:c>
      <x:c r="M19" s="50" t="n">
        <x:v>2640</x:v>
      </x:c>
      <x:c r="N19" s="70" t="n">
        <x:f>IF(L19="","",L19*'مدل هزینه'!$B$6/1000000)</x:f>
        <x:v>672</x:v>
      </x:c>
      <x:c r="O19" s="70" t="n">
        <x:f>IF(M19="","",M19*'مدل هزینه'!$B$8/1000000)</x:f>
        <x:v>3960</x:v>
      </x:c>
      <x:c r="P19" s="26" t="str">
        <x:v>کیوسک سفارش ۲۷۰میلیونی شامل کنترل وزن، مالیات، مرجوعی و ضدخطا نیست</x:v>
      </x:c>
      <x:c r="Q19" s="26" t="str">
        <x:v>https://daneshavaran.ir/navid-touch-stand/
https://shahrvand.ir/en
https://www.rewe-group.com/en/press-and-media/newsroom/press-releases/four-ways-to-shop-rewe-takes-hybrid-and-cashless-shopping-to-a-new-level/
https://www.fairpricegroup.com.sg/new-digital-first-fairprice-finest-opens-at-sengkang-grand-mall/
https://corporate.walmart.com/about/samsclub/news/2024/04/30/sams-club-deploys-ai-powered-exit-technology-at-120-locations-leading-retail-industry-with-customer-experience-innovation</x:v>
      </x:c>
    </x:row>
    <x:row r="20" ht="95" customHeight="1">
      <x:c r="A20" s="26" t="str">
        <x:v>BP016</x:v>
      </x:c>
      <x:c r="B20" s="26" t="str">
        <x:v>ایستگاه ریفیل شوینده قابل‌ردیابی</x:v>
      </x:c>
      <x:c r="C20" s="26" t="str">
        <x:v>ایستگاه ریفیل</x:v>
      </x:c>
      <x:c r="D20" s="26" t="str">
        <x:v>M09، I27</x:v>
      </x:c>
      <x:c r="E20" s="26" t="str">
        <x:v>عرضه/نمونه مرتبط؛ استقرار فامیلی تأیید نشده</x:v>
      </x:c>
      <x:c r="F20" s="26" t="str">
        <x:v>گرین‌چی — کاتالوگ گرین‌چی</x:v>
      </x:c>
      <x:c r="G20" s="26" t="str">
        <x:v>نیازمند استعلام هم‌دامنه</x:v>
      </x:c>
      <x:c r="H20" s="26" t="str">
        <x:v>GR034؛ Asda؛ آزمون و بازطراحی پیشنهاد
rf-s006؛ Algramo در گزارش برنامه محیط‌زیست ملل متحد
rf-s007؛ ایستگاه‌های QYOS و Unilever در اندونزی
rf-s008؛ مدل کم‌فناوری Alner و چالش عادت خرید
rf-s009؛ MIWA و dm؛ فروش وزنی غذای خشک
rf-s010؛ Refill Coalition؛ ظرف عمده برگشت‌پذیر و تحویل خانگی
rf-s012؛ خدمت ریفیل برند Ecover
rf-s013؛ کیت بطری و قرص جایگزین Blueland</x:v>
      </x:c>
      <x:c r="I20" s="26" t="str">
        <x:v>قیمت عمومی هم‌دامنه ثبت نشده</x:v>
      </x:c>
      <x:c r="J20" s="26" t="str">
        <x:v>سه محصول تأییدشده، سه مدار مستقل، سنجش معتبر و برچسب</x:v>
      </x:c>
      <x:c r="K20" s="26" t="str">
        <x:v>L3</x:v>
      </x:c>
      <x:c r="L20" s="50" t="n">
        <x:v>664</x:v>
      </x:c>
      <x:c r="M20" s="50" t="n">
        <x:v>1440</x:v>
      </x:c>
      <x:c r="N20" s="70" t="n">
        <x:f>IF(L20="","",L20*'مدل هزینه'!$B$6/1000000)</x:f>
        <x:v>398.4</x:v>
      </x:c>
      <x:c r="O20" s="70" t="n">
        <x:f>IF(M20="","",M20*'مدل هزینه'!$B$8/1000000)</x:f>
        <x:v>2160</x:v>
      </x:c>
      <x:c r="P20" s="26" t="str">
        <x:v>ایمنی/واحد حجم-جرم، سری ساخت و مجوز؛ قیمت شوینده قیمت ایستگاه نیست</x:v>
      </x:c>
      <x:c r="Q20" s="26" t="str">
        <x:v>https://greenchimarket.co/products.php
https://corporate.asda.com/newsroom/2022/12/02/asda-revamps-refill-proposition-and-guarantees-cheaper-prices
https://www.unep.org/news-and-stories/story/chilean-start-changing-our-relationship-plastic
https://www.unilever.co.id/news/press-releases/2022/unilever-indonesia-dan-qyos-hadirkan-refill-station-sebagai-alternatif-belanja/
https://www.unilever.co.id/en//news/press-releases/2024/refill-station-empower-msmes-to-encourage-an-environmentally-friendly-shopping-lifestyle/
https://www.miwa.eu/news/our-partners/miwa-partners-with-dm-to-launch-refill-revolution-in-germany
https://gounpackaged.com/refill-coalition
https://uk.ecover.com/refill-ecover-over/
https://www.blueland.com/products/the-clean-essentials</x:v>
      </x:c>
    </x:row>
    <x:row r="21" ht="95" customHeight="1">
      <x:c r="A21" s="26" t="str">
        <x:v>BP017</x:v>
      </x:c>
      <x:c r="B21" s="26" t="str">
        <x:v>قیمت‌خوان بارکدی متصل به صندوق</x:v>
      </x:c>
      <x:c r="C21" s="26" t="str">
        <x:v>تجهیزات فروشگاهی</x:v>
      </x:c>
      <x:c r="D21" s="26" t="str">
        <x:v>M10، I12، HC05</x:v>
      </x:c>
      <x:c r="E21" s="26" t="str">
        <x:v>مؤلفه یا نمونه همجوار؛ تطابق کامل احراز نشده</x:v>
      </x:c>
      <x:c r="F21" s="26" t="str">
        <x:v>عارف مارکت — پرایس‌چکر J6412؛ سرنخ
دانش‌آوران — کیوسک لمسی پرداخت نوید</x:v>
      </x:c>
      <x:c r="G21" s="26" t="str">
        <x:v>PQ017؛ 270,000,000 تومان / دستگاه</x:v>
      </x:c>
      <x:c r="H21" s="26" t="str">
        <x:v>شکاف پژوهشی</x:v>
      </x:c>
      <x:c r="I21" s="26" t="str">
        <x:v>قیمت عمومی هم‌دامنه ثبت نشده</x:v>
      </x:c>
      <x:c r="J21" s="26" t="str">
        <x:v>یک قیمت‌خوان برای قیمت و تخفیف از منبع مصوب</x:v>
      </x:c>
      <x:c r="K21" s="26" t="str">
        <x:v>L1</x:v>
      </x:c>
      <x:c r="L21" s="50" t="n">
        <x:v>200</x:v>
      </x:c>
      <x:c r="M21" s="50" t="n">
        <x:v>384</x:v>
      </x:c>
      <x:c r="N21" s="70" t="n">
        <x:f>IF(L21="","",L21*'مدل هزینه'!$B$6/1000000)</x:f>
        <x:v>120</x:v>
      </x:c>
      <x:c r="O21" s="70" t="n">
        <x:f>IF(M21="","",M21*'مدل هزینه'!$B$8/1000000)</x:f>
        <x:v>576</x:v>
      </x:c>
      <x:c r="P21" s="26" t="str">
        <x:v>پرایس‌چکر ارزان با کیوسک بزرگ هم‌رده نیست؛ قیمت UI و اسکنر تفکیک شود</x:v>
      </x:c>
      <x:c r="Q21" s="26" t="str">
        <x:v>http://arefmarket.com/product/پرایس-چکر-بایامکس-مدل-j6412/
https://daneshavaran.ir/navid-touch-stand/</x:v>
      </x:c>
    </x:row>
    <x:row r="22" ht="95" customHeight="1">
      <x:c r="A22" s="26" t="str">
        <x:v>BP018</x:v>
      </x:c>
      <x:c r="B22" s="26" t="str">
        <x:v>ایستگاه شارژ موبایل</x:v>
      </x:c>
      <x:c r="C22" s="26" t="str">
        <x:v>خدمات جانبی</x:v>
      </x:c>
      <x:c r="D22" s="26" t="str">
        <x:v>M11</x:v>
      </x:c>
      <x:c r="E22" s="26" t="str">
        <x:v>بنچمارک مستقیم ایرانی در مجموعه احراز نشد</x:v>
      </x:c>
      <x:c r="F22" s="26" t="str">
        <x:v>بنچمارک مستقیم تثبیت نشده</x:v>
      </x:c>
      <x:c r="G22" s="26" t="str">
        <x:v>نیازمند استعلام هم‌دامنه</x:v>
      </x:c>
      <x:c r="H22" s="26" t="str">
        <x:v>GR064؛ ChargeBox؛ محصول معرفی‌شده</x:v>
      </x:c>
      <x:c r="I22" s="26" t="str">
        <x:v>قیمت عمومی هم‌دامنه ثبت نشده</x:v>
      </x:c>
      <x:c r="J22" s="26" t="str">
        <x:v>یک نقطه با مدیریت خرابی و مسئولیت تحویل/امانت</x:v>
      </x:c>
      <x:c r="K22" s="26" t="str">
        <x:v>L1</x:v>
      </x:c>
      <x:c r="L22" s="50" t="n">
        <x:v>200</x:v>
      </x:c>
      <x:c r="M22" s="50" t="n">
        <x:v>384</x:v>
      </x:c>
      <x:c r="N22" s="70" t="n">
        <x:f>IF(L22="","",L22*'مدل هزینه'!$B$6/1000000)</x:f>
        <x:v>120</x:v>
      </x:c>
      <x:c r="O22" s="70" t="n">
        <x:f>IF(M22="","",M22*'مدل هزینه'!$B$8/1000000)</x:f>
        <x:v>576</x:v>
      </x:c>
      <x:c r="P22" s="26" t="str">
        <x:v>توان شارژ، کابل، ایمنی و مسیر پشتیبانی؛ درآمد تبلیغ مستقل اثبات شود</x:v>
      </x:c>
      <x:c r="Q22" s="26" t="str">
        <x:v>https://www.chargebox.com/charging-solutions-for-in-store-retail/</x:v>
      </x:c>
    </x:row>
    <x:row r="23" ht="95" customHeight="1">
      <x:c r="A23" s="26" t="str">
        <x:v>BP019</x:v>
      </x:c>
      <x:c r="B23" s="26" t="str">
        <x:v>عکس فوری و پرسنلی</x:v>
      </x:c>
      <x:c r="C23" s="26" t="str">
        <x:v>خدمات جانبی</x:v>
      </x:c>
      <x:c r="D23" s="26" t="str">
        <x:v>M12</x:v>
      </x:c>
      <x:c r="E23" s="26" t="str">
        <x:v>بنچمارک مستقیم ایرانی در مجموعه احراز نشد</x:v>
      </x:c>
      <x:c r="F23" s="26" t="str">
        <x:v>بنچمارک مستقیم تثبیت نشده</x:v>
      </x:c>
      <x:c r="G23" s="26" t="str">
        <x:v>نیازمند استعلام هم‌دامنه</x:v>
      </x:c>
      <x:c r="H23" s="26" t="str">
        <x:v>GR063؛ ME Group؛ محصول و شرایط خدمت منتشرشده</x:v>
      </x:c>
      <x:c r="I23" s="26" t="str">
        <x:v>قیمت عمومی هم‌دامنه ثبت نشده</x:v>
      </x:c>
      <x:c r="J23" s="26" t="str">
        <x:v>یک کیوسک با دوربین، نور، چاپگر و محتوای رضایت</x:v>
      </x:c>
      <x:c r="K23" s="26" t="str">
        <x:v>L2</x:v>
      </x:c>
      <x:c r="L23" s="50" t="n">
        <x:v>400</x:v>
      </x:c>
      <x:c r="M23" s="50" t="n">
        <x:v>800</x:v>
      </x:c>
      <x:c r="N23" s="70" t="n">
        <x:f>IF(L23="","",L23*'مدل هزینه'!$B$6/1000000)</x:f>
        <x:v>240</x:v>
      </x:c>
      <x:c r="O23" s="70" t="n">
        <x:f>IF(M23="","",M23*'مدل هزینه'!$B$8/1000000)</x:f>
        <x:v>1200</x:v>
      </x:c>
      <x:c r="P23" s="26" t="str">
        <x:v>چاپگر فقط یک جزء؛ حریم خصوصی، مواد مصرفی و چاپ ناموفق</x:v>
      </x:c>
      <x:c r="Q23" s="26" t="str">
        <x:v>https://me-group.com/meg-booth-terms-of-use/</x:v>
      </x:c>
    </x:row>
    <x:row r="24" ht="95" customHeight="1">
      <x:c r="A24" s="26" t="str">
        <x:v>BP020</x:v>
      </x:c>
      <x:c r="B24" s="26" t="str">
        <x:v>دریافت بطری و اعتبار خرید</x:v>
      </x:c>
      <x:c r="C24" s="26" t="str">
        <x:v>خدمات جانبی</x:v>
      </x:c>
      <x:c r="D24" s="26" t="str">
        <x:v>M13، I26، HC08</x:v>
      </x:c>
      <x:c r="E24" s="26" t="str">
        <x:v>مؤلفه یا نمونه همجوار؛ تطابق کامل احراز نشده</x:v>
      </x:c>
      <x:c r="F24" s="26" t="str">
        <x:v>پایاپارس — کاتالوگ پایاپارس؛ صفحه سوم
GR057؛ شهروند؛ معرفی رسمی؛ دامنه جاری احراز نشده</x:v>
      </x:c>
      <x:c r="G24" s="26" t="str">
        <x:v>PQ013؛ 545,000,000 تومان / دستگاه</x:v>
      </x:c>
      <x:c r="H24" s="26" t="str">
        <x:v>GR065؛ TOMRA؛ خانواده محصول تجاری</x:v>
      </x:c>
      <x:c r="I24" s="26" t="str">
        <x:v>قیمت عمومی هم‌دامنه ثبت نشده</x:v>
      </x:c>
      <x:c r="J24" s="26" t="str">
        <x:v>یک دستگاه یا ایستگاه دستی با شریک جمع‌آوری</x:v>
      </x:c>
      <x:c r="K24" s="26" t="str">
        <x:v>L2</x:v>
      </x:c>
      <x:c r="L24" s="50" t="n">
        <x:v>400</x:v>
      </x:c>
      <x:c r="M24" s="50" t="n">
        <x:v>800</x:v>
      </x:c>
      <x:c r="N24" s="70" t="n">
        <x:f>IF(L24="","",L24*'مدل هزینه'!$B$6/1000000)</x:f>
        <x:v>240</x:v>
      </x:c>
      <x:c r="O24" s="70" t="n">
        <x:f>IF(M24="","",M24*'مدل هزینه'!$B$8/1000000)</x:f>
        <x:v>1200</x:v>
      </x:c>
      <x:c r="P24" s="26" t="str">
        <x:v>ظرف مجاز، ضدتقلب، ظرفیت و خروج پسماند؛ ودیعه با جایزه فرق دارد</x:v>
      </x:c>
      <x:c r="Q24" s="26" t="str">
        <x:v>https://payapars.com/shop/page/3/
https://shahrvand.ir/en
https://www.tomra.com/reverse-vending/our-offering/reverse-vending-machines/tomra-r1-and-t9-with-multipac-air</x:v>
      </x:c>
    </x:row>
    <x:row r="25" ht="95" customHeight="1">
      <x:c r="A25" s="26" t="str">
        <x:v>BP021</x:v>
      </x:c>
      <x:c r="B25" s="26" t="str">
        <x:v>کیوسک پایش اولیه سلامت</x:v>
      </x:c>
      <x:c r="C25" s="26" t="str">
        <x:v>خدمات جانبی</x:v>
      </x:c>
      <x:c r="D25" s="26" t="str">
        <x:v>M14</x:v>
      </x:c>
      <x:c r="E25" s="26" t="str">
        <x:v>بنچمارک مستقیم ایرانی در مجموعه احراز نشد</x:v>
      </x:c>
      <x:c r="F25" s="26" t="str">
        <x:v>بنچمارک مستقیم تثبیت نشده</x:v>
      </x:c>
      <x:c r="G25" s="26" t="str">
        <x:v>نیازمند استعلام هم‌دامنه</x:v>
      </x:c>
      <x:c r="H25" s="26" t="str">
        <x:v>GR062؛ Roundy’s / Kroger / Higi؛ همکاری تاریخی اعلام‌شده</x:v>
      </x:c>
      <x:c r="I25" s="26" t="str">
        <x:v>قیمت عمومی هم‌دامنه ثبت نشده</x:v>
      </x:c>
      <x:c r="J25" s="26" t="str">
        <x:v>فقط خدمت محدودی با تجهیز معتبر و مسئول تخصصی</x:v>
      </x:c>
      <x:c r="K25" s="26" t="str">
        <x:v>نامربوط/نامشخص</x:v>
      </x:c>
      <x:c r="L25" s="50"/>
      <x:c r="M25" s="50"/>
      <x:c r="N25" s="70" t="str">
        <x:f>IF(L25="","",L25*'مدل هزینه'!$B$6/1000000)</x:f>
      </x:c>
      <x:c r="O25" s="70" t="str">
        <x:f>IF(M25="","",M25*'مدل هزینه'!$B$8/1000000)</x:f>
      </x:c>
      <x:c r="P25" s="26" t="str">
        <x:v>هزینه دستگاه و پروتکل/مجوز جدا؛ تشخیص پزشکی خودکار پیشنهاد نمی‌شود</x:v>
      </x:c>
      <x:c r="Q25" s="26" t="str">
        <x:v>https://www.higi.com/press/2019/05/kroger-expands-relationship-with-higi-by-providing-self-service-smart-health-stations-as-a-health-resource-for-roundys-shoppers</x:v>
      </x:c>
    </x:row>
    <x:row r="26" ht="95" customHeight="1">
      <x:c r="A26" s="26" t="str">
        <x:v>BP022</x:v>
      </x:c>
      <x:c r="B26" s="26" t="str">
        <x:v>ربات نظافت</x:v>
      </x:c>
      <x:c r="C26" s="26" t="str">
        <x:v>تجهیزات فروشگاهی</x:v>
      </x:c>
      <x:c r="D26" s="26" t="str">
        <x:v>M15</x:v>
      </x:c>
      <x:c r="E26" s="26" t="str">
        <x:v>بنچمارک مستقیم ایرانی در مجموعه احراز نشد</x:v>
      </x:c>
      <x:c r="F26" s="26" t="str">
        <x:v>بنچمارک مستقیم تثبیت نشده</x:v>
      </x:c>
      <x:c r="G26" s="26" t="str">
        <x:v>نیازمند استعلام هم‌دامنه</x:v>
      </x:c>
      <x:c r="H26" s="26" t="str">
        <x:v>GR014؛ Lawson / KDDI؛ فروشگاه آزمایشی افتتاح‌شده
RobotLAB — قیمت ربات‌های نظافت</x:v>
      </x:c>
      <x:c r="I26" s="26" t="str">
        <x:v>PQ044؛ 24,000 USD / دستگاه
PQ045؛ 35,833 USD / دستگاه
PQ046؛ 999 USD / دستگاه/ماه</x:v>
      </x:c>
      <x:c r="J26" s="26" t="str">
        <x:v>یک مسیر نظافت با موانع واقعی و اپراتور پشتیبان</x:v>
      </x:c>
      <x:c r="K26" s="26" t="str">
        <x:v>L1</x:v>
      </x:c>
      <x:c r="L26" s="50" t="n">
        <x:v>200</x:v>
      </x:c>
      <x:c r="M26" s="50" t="n">
        <x:v>384</x:v>
      </x:c>
      <x:c r="N26" s="70" t="n">
        <x:f>IF(L26="","",L26*'مدل هزینه'!$B$6/1000000)</x:f>
        <x:v>120</x:v>
      </x:c>
      <x:c r="O26" s="70" t="n">
        <x:f>IF(M26="","",M26*'مدل هزینه'!$B$8/1000000)</x:f>
        <x:v>576</x:v>
      </x:c>
      <x:c r="P26" s="26" t="str">
        <x:v>زمان خالص، آب/مصرفی، مداخله و قطعه؛ خرید و RaaS گزینه جایگزین‌اند</x:v>
      </x:c>
      <x:c r="Q26" s="26" t="str">
        <x:v>https://newsroom.kddi.com/news/detail/kddi_nr-625_3969.html
https://www.robotlab.com/store/category/cleaning/</x:v>
      </x:c>
    </x:row>
    <x:row r="27" ht="95" customHeight="1">
      <x:c r="A27" s="26" t="str">
        <x:v>BP023</x:v>
      </x:c>
      <x:c r="B27" s="26" t="str">
        <x:v>ربات راهنما یا خدمت از راه دور</x:v>
      </x:c>
      <x:c r="C27" s="26" t="str">
        <x:v>تجهیزات فروشگاهی</x:v>
      </x:c>
      <x:c r="D27" s="26" t="str">
        <x:v>M15</x:v>
      </x:c>
      <x:c r="E27" s="26" t="str">
        <x:v>بنچمارک مستقیم ایرانی در مجموعه احراز نشد</x:v>
      </x:c>
      <x:c r="F27" s="26" t="str">
        <x:v>بنچمارک مستقیم تثبیت نشده</x:v>
      </x:c>
      <x:c r="G27" s="26" t="str">
        <x:v>نیازمند استعلام هم‌دامنه</x:v>
      </x:c>
      <x:c r="H27" s="26" t="str">
        <x:v>GR014؛ Lawson / KDDI؛ فروشگاه آزمایشی افتتاح‌شده
GR019؛ Seven &amp; i / newme؛ نمایش و آزمایش در رویداد</x:v>
      </x:c>
      <x:c r="I27" s="26" t="str">
        <x:v>قیمت عمومی هم‌دامنه ثبت نشده</x:v>
      </x:c>
      <x:c r="J27" s="26" t="str">
        <x:v>یک مأموریت مشخص با مسیر کمک انسانی</x:v>
      </x:c>
      <x:c r="K27" s="26" t="str">
        <x:v>L2</x:v>
      </x:c>
      <x:c r="L27" s="50" t="n">
        <x:v>400</x:v>
      </x:c>
      <x:c r="M27" s="50" t="n">
        <x:v>800</x:v>
      </x:c>
      <x:c r="N27" s="70" t="n">
        <x:f>IF(L27="","",L27*'مدل هزینه'!$B$6/1000000)</x:f>
        <x:v>240</x:v>
      </x:c>
      <x:c r="O27" s="70" t="n">
        <x:f>IF(M27="","",M27*'مدل هزینه'!$B$8/1000000)</x:f>
        <x:v>1200</x:v>
      </x:c>
      <x:c r="P27" s="26" t="str">
        <x:v>ربات نظافت، حمل و راهنما یک دستگاه واحد فرض نشوند</x:v>
      </x:c>
      <x:c r="Q27" s="26" t="str">
        <x:v>https://newsroom.kddi.com/news/detail/kddi_nr-625_3969.html
https://asupresso.7andi.com/en/newspress/eventreport/376</x:v>
      </x:c>
    </x:row>
    <x:row r="28" ht="95" customHeight="1">
      <x:c r="A28" s="26" t="str">
        <x:v>BP024</x:v>
      </x:c>
      <x:c r="B28" s="26" t="str">
        <x:v>قفسه تا اقدام با بینایی ماشین</x:v>
      </x:c>
      <x:c r="C28" s="26" t="str">
        <x:v>عملیات</x:v>
      </x:c>
      <x:c r="D28" s="26" t="str">
        <x:v>M16، I11، HC01</x:v>
      </x:c>
      <x:c r="E28" s="26" t="str">
        <x:v>مؤلفه یا نمونه همجوار؛ تطابق کامل احراز نشده</x:v>
      </x:c>
      <x:c r="F28" s="26" t="str">
        <x:v>GR061؛ دیدبان؛ معرفی محصول</x:v>
      </x:c>
      <x:c r="G28" s="26" t="str">
        <x:v>نیازمند استعلام هم‌دامنه</x:v>
      </x:c>
      <x:c r="H28" s="26" t="str">
        <x:v>GR010؛ BJ’s / Simbe؛ گسترش زنجیره‌ای طبق گزارش فروشنده
GR015؛ FamilyMart / Telexistence؛ نصب اولیه و برنامه توسعه جداگانه</x:v>
      </x:c>
      <x:c r="I28" s="26" t="str">
        <x:v>قیمت عمومی هم‌دامنه ثبت نشده</x:v>
      </x:c>
      <x:c r="J28" s="26" t="str">
        <x:v>قفسه‌های منتخب، عکس موبایل یا دوربین مناسب و کار قابل‌بستن</x:v>
      </x:c>
      <x:c r="K28" s="26" t="str">
        <x:v>L3</x:v>
      </x:c>
      <x:c r="L28" s="50" t="n">
        <x:v>664</x:v>
      </x:c>
      <x:c r="M28" s="50" t="n">
        <x:v>1440</x:v>
      </x:c>
      <x:c r="N28" s="70" t="n">
        <x:f>IF(L28="","",L28*'مدل هزینه'!$B$6/1000000)</x:f>
        <x:v>398.4</x:v>
      </x:c>
      <x:c r="O28" s="70" t="n">
        <x:f>IF(M28="","",M28*'مدل هزینه'!$B$8/1000000)</x:f>
        <x:v>2160</x:v>
      </x:c>
      <x:c r="P28" s="26" t="str">
        <x:v>دوربین موجود ممکن است زاویه مناسب نداشته باشد؛ نرخ هشدار غلط و زمان رفع</x:v>
      </x:c>
      <x:c r="Q28" s="26" t="str">
        <x:v>https://www.linkedin.com/products/didbaan-ai-%D8%B3%D8%A7%D9%85%D8%A7%D9%86%D9%87-%D8%AA%D8%B1%D8%AF%D8%AF%D8%B4%D9%85%D8%A7%D8%B1-%D8%A7%D9%81%D8%B1%D8%A7%D8%AF-%D8%AF%DB%8C%D8%AF%D8%A8%D8%A7%D9%86-people-counter/
https://www.simberobotics.com/about/newsroom/simbe-announces-partnership-with-plexus-corp-to-scale-manufacturing-and-meet-global-retail-demand
https://tx-inc.com/en/blog/2021/11/02/11451/
https://tx-inc.com/en/blog/2022/08/10/11737/</x:v>
      </x:c>
    </x:row>
    <x:row r="29" ht="95" customHeight="1">
      <x:c r="A29" s="26" t="str">
        <x:v>BP025</x:v>
      </x:c>
      <x:c r="B29" s="26" t="str">
        <x:v>تردد، صف و صندوق سیار</x:v>
      </x:c>
      <x:c r="C29" s="26" t="str">
        <x:v>عملیات</x:v>
      </x:c>
      <x:c r="D29" s="26" t="str">
        <x:v>M16، I04، HC04</x:v>
      </x:c>
      <x:c r="E29" s="26" t="str">
        <x:v>مؤلفه یا نمونه همجوار؛ تطابق کامل احراز نشده</x:v>
      </x:c>
      <x:c r="F29" s="26" t="str">
        <x:v>GR061؛ دیدبان؛ معرفی محصول
GR057؛ شهروند؛ معرفی رسمی؛ دامنه جاری احراز نشده</x:v>
      </x:c>
      <x:c r="G29" s="26" t="str">
        <x:v>نیازمند استعلام هم‌دامنه</x:v>
      </x:c>
      <x:c r="H29" s="26" t="str">
        <x:v>GR025؛ FairPrice Finest؛ فروشگاه افتتاح‌شده</x:v>
      </x:c>
      <x:c r="I29" s="26" t="str">
        <x:v>قیمت عمومی هم‌دامنه ثبت نشده</x:v>
      </x:c>
      <x:c r="J29" s="26" t="str">
        <x:v>یک ورودی/صف با شمارش بی‌نام و اقدام سرشیفت</x:v>
      </x:c>
      <x:c r="K29" s="26" t="str">
        <x:v>L3</x:v>
      </x:c>
      <x:c r="L29" s="50" t="n">
        <x:v>664</x:v>
      </x:c>
      <x:c r="M29" s="50" t="n">
        <x:v>1440</x:v>
      </x:c>
      <x:c r="N29" s="70" t="n">
        <x:f>IF(L29="","",L29*'مدل هزینه'!$B$6/1000000)</x:f>
        <x:v>398.4</x:v>
      </x:c>
      <x:c r="O29" s="70" t="n">
        <x:f>IF(M29="","",M29*'مدل هزینه'!$B$8/1000000)</x:f>
        <x:v>2160</x:v>
      </x:c>
      <x:c r="P29" s="26" t="str">
        <x:v>بدون شناسایی هویت؛ حضور بیشتر همیشه تجربه بهتر نیست</x:v>
      </x:c>
      <x:c r="Q29" s="26" t="str">
        <x:v>https://www.linkedin.com/products/didbaan-ai-%D8%B3%D8%A7%D9%85%D8%A7%D9%86%D9%87-%D8%AA%D8%B1%D8%AF%D8%AF%D8%B4%D9%85%D8%A7%D8%B1-%D8%A7%D9%81%D8%B1%D8%A7%D8%AF-%D8%AF%DB%8C%D8%AF%D8%A8%D8%A7%D9%86-people-counter/
https://shahrvand.ir/en
https://www.fairpricegroup.com.sg/new-digital-first-fairprice-finest-opens-at-sengkang-grand-mall/</x:v>
      </x:c>
    </x:row>
    <x:row r="30" ht="95" customHeight="1">
      <x:c r="A30" s="26" t="str">
        <x:v>BP026</x:v>
      </x:c>
      <x:c r="B30" s="26" t="str">
        <x:v>هشدار ایمنی محیط فروشگاه</x:v>
      </x:c>
      <x:c r="C30" s="26" t="str">
        <x:v>عملیات</x:v>
      </x:c>
      <x:c r="D30" s="26" t="str">
        <x:v>M16</x:v>
      </x:c>
      <x:c r="E30" s="26" t="str">
        <x:v>مؤلفه یا نمونه همجوار؛ تطابق کامل احراز نشده</x:v>
      </x:c>
      <x:c r="F30" s="26" t="str">
        <x:v>GR061؛ دیدبان؛ معرفی محصول</x:v>
      </x:c>
      <x:c r="G30" s="26" t="str">
        <x:v>نیازمند استعلام هم‌دامنه</x:v>
      </x:c>
      <x:c r="H30" s="26" t="str">
        <x:v>GR024؛ GS25 / NACS؛ نمونه معرفی‌شده در ارزیابی صنعتی</x:v>
      </x:c>
      <x:c r="I30" s="26" t="str">
        <x:v>قیمت عمومی هم‌دامنه ثبت نشده</x:v>
      </x:c>
      <x:c r="J30" s="26" t="str">
        <x:v>یک رخداد غیرشخصی مثل انسداد راهرو، با تأیید انسانی</x:v>
      </x:c>
      <x:c r="K30" s="26" t="str">
        <x:v>L3</x:v>
      </x:c>
      <x:c r="L30" s="50" t="n">
        <x:v>664</x:v>
      </x:c>
      <x:c r="M30" s="50" t="n">
        <x:v>1440</x:v>
      </x:c>
      <x:c r="N30" s="70" t="n">
        <x:f>IF(L30="","",L30*'مدل هزینه'!$B$6/1000000)</x:f>
        <x:v>398.4</x:v>
      </x:c>
      <x:c r="O30" s="70" t="n">
        <x:f>IF(M30="","",M30*'مدل هزینه'!$B$8/1000000)</x:f>
        <x:v>2160</x:v>
      </x:c>
      <x:c r="P30" s="26" t="str">
        <x:v>مدل عمومی جای سامانه ایمنی گواهی‌شده یا قضاوت درباره افراد نیست</x:v>
      </x:c>
      <x:c r="Q30" s="26" t="str">
        <x:v>https://www.linkedin.com/products/didbaan-ai-%D8%B3%D8%A7%D9%85%D8%A7%D9%86%D9%87-%D8%AA%D8%B1%D8%AF%D8%AF%D8%B4%D9%85%D8%A7%D8%B1-%D8%A7%D9%81%D8%B1%D8%A7%D8%AF-%D8%AF%DB%8C%D8%AF%D8%A8%D8%A7%D9%86-people-counter/
https://www.convenience.org/stay-current/press-releases/2025-press-releases/tops-daily-laguna-village%2C-gs25%2C-usmile-earn-nacs</x:v>
      </x:c>
    </x:row>
    <x:row r="31" ht="95" customHeight="1">
      <x:c r="A31" s="26" t="str">
        <x:v>BP027</x:v>
      </x:c>
      <x:c r="B31" s="26" t="str">
        <x:v>راهنمای کالا و نقشه داخل فروشگاه</x:v>
      </x:c>
      <x:c r="C31" s="26" t="str">
        <x:v>تجربه مشتری</x:v>
      </x:c>
      <x:c r="D31" s="26" t="str">
        <x:v>M17، I02، HC01</x:v>
      </x:c>
      <x:c r="E31" s="26" t="str">
        <x:v>مؤلفه یا نمونه همجوار؛ تطابق کامل احراز نشده</x:v>
      </x:c>
      <x:c r="F31" s="26" t="str">
        <x:v>عارف مارکت — پرایس‌چکر J6412؛ سرنخ</x:v>
      </x:c>
      <x:c r="G31" s="26" t="str">
        <x:v>نیازمند استعلام هم‌دامنه</x:v>
      </x:c>
      <x:c r="H31" s="26" t="str">
        <x:v>GR001؛ Walmart؛ خدمت معرفی‌شده در بهره‌برداری
GR074؛ Kellogg / NaviLens؛ عرضه اعلام‌شده پس از پایلوت
Mappedin — مدل قیمت Mappedin</x:v>
      </x:c>
      <x:c r="I31" s="26" t="str">
        <x:v>قیمت عمومی هم‌دامنه ثبت نشده</x:v>
      </x:c>
      <x:c r="J31" s="26" t="str">
        <x:v>نقشه یک شعبه و کد مکان برای اقلام منتخب؛ QR مبدا معلوم</x:v>
      </x:c>
      <x:c r="K31" s="26" t="str">
        <x:v>L2</x:v>
      </x:c>
      <x:c r="L31" s="50" t="n">
        <x:v>400</x:v>
      </x:c>
      <x:c r="M31" s="50" t="n">
        <x:v>800</x:v>
      </x:c>
      <x:c r="N31" s="70" t="n">
        <x:f>IF(L31="","",L31*'مدل هزینه'!$B$6/1000000)</x:f>
        <x:v>240</x:v>
      </x:c>
      <x:c r="O31" s="70" t="n">
        <x:f>IF(M31="","",M31*'مدل هزینه'!$B$8/1000000)</x:f>
        <x:v>1200</x:v>
      </x:c>
      <x:c r="P31" s="26" t="str">
        <x:v>QR معادل مکان‌یابی زنده BLE/UWB نیست؛ نگهداری نقشه هزینه دارد</x:v>
      </x:c>
      <x:c r="Q31" s="26" t="str">
        <x:v>http://arefmarket.com/product/پرایس-چکر-بایامکس-مدل-j6412/
https://corporate.walmart.com/news/2026/10/cant-find-it-walmart-can-light-the-way
https://www.prnewswire.com/news-releases/kellogg-empowers-blind-consumers-in-us-with-navilens-technology-on-packaging-301702736.html
https://www.mappedin.com/pricing/</x:v>
      </x:c>
    </x:row>
    <x:row r="32" ht="95" customHeight="1">
      <x:c r="A32" s="26" t="str">
        <x:v>BP028</x:v>
      </x:c>
      <x:c r="B32" s="26" t="str">
        <x:v>پرداخت QR و NFC و تطبیق تراکنش</x:v>
      </x:c>
      <x:c r="C32" s="26" t="str">
        <x:v>تجهیزات فروشگاهی</x:v>
      </x:c>
      <x:c r="D32" s="26" t="str">
        <x:v>M18، HC09</x:v>
      </x:c>
      <x:c r="E32" s="26" t="str">
        <x:v>بنچمارک مستقیم ایرانی در مجموعه احراز نشد</x:v>
      </x:c>
      <x:c r="F32" s="26" t="str">
        <x:v>بنچمارک مستقیم تثبیت نشده</x:v>
      </x:c>
      <x:c r="G32" s="26" t="str">
        <x:v>نیازمند استعلام هم‌دامنه</x:v>
      </x:c>
      <x:c r="H32" s="26" t="str">
        <x:v>GR051؛ OXXO / Conekta؛ خدمت تاریخی راه‌اندازی‌شده
GR026؛ JioMart / Meta؛ خدمت راه‌اندازی‌شده طبق ناشر</x:v>
      </x:c>
      <x:c r="I32" s="26" t="str">
        <x:v>قیمت عمومی هم‌دامنه ثبت نشده</x:v>
      </x:c>
      <x:c r="J32" s="26" t="str">
        <x:v>یک مسیر PSP مجاز با شناسه یکتا و برگشت آزموده</x:v>
      </x:c>
      <x:c r="K32" s="26" t="str">
        <x:v>L3</x:v>
      </x:c>
      <x:c r="L32" s="50" t="n">
        <x:v>664</x:v>
      </x:c>
      <x:c r="M32" s="50" t="n">
        <x:v>1440</x:v>
      </x:c>
      <x:c r="N32" s="70" t="n">
        <x:f>IF(L32="","",L32*'مدل هزینه'!$B$6/1000000)</x:f>
        <x:v>398.4</x:v>
      </x:c>
      <x:c r="O32" s="70" t="n">
        <x:f>IF(M32="","",M32*'مدل هزینه'!$B$8/1000000)</x:f>
        <x:v>2160</x:v>
      </x:c>
      <x:c r="P32" s="26" t="str">
        <x:v>توکن/کارت/اعتبار و مجوز طرف پرداخت؛ کد QR خودش تایید پرداخت نیست</x:v>
      </x:c>
      <x:c r="Q32" s="26" t="str">
        <x:v>https://www.femsa.com/en/press-room/press-release/oxxo-pay-new-digital-payment-solution-for-retailers/
https://about.fb.com/news/2022/08/shop-on-whatsapp-with-jiomart-in-india/</x:v>
      </x:c>
    </x:row>
    <x:row r="33" ht="95" customHeight="1">
      <x:c r="A33" s="26" t="str">
        <x:v>BP029</x:v>
      </x:c>
      <x:c r="B33" s="26" t="str">
        <x:v>زیرکنتور و تحلیل مصرف تا اقدام</x:v>
      </x:c>
      <x:c r="C33" s="26" t="str">
        <x:v>عملیات</x:v>
      </x:c>
      <x:c r="D33" s="26" t="str">
        <x:v>M19، I16</x:v>
      </x:c>
      <x:c r="E33" s="26" t="str">
        <x:v>بنچمارک مستقیم ایرانی در مجموعه احراز نشد</x:v>
      </x:c>
      <x:c r="F33" s="26" t="str">
        <x:v>بنچمارک مستقیم تثبیت نشده</x:v>
      </x:c>
      <x:c r="G33" s="26" t="str">
        <x:v>نیازمند استعلام هم‌دامنه</x:v>
      </x:c>
      <x:c r="H33" s="26" t="str">
        <x:v>GR017؛ Lawson / KDDI / شرکای انرژی؛ آزمایش میدانی اعلام‌شده
GR038؛ Danfoss / Coop 365 / BALS؛ سایت فعال و توسعه آزمایشی</x:v>
      </x:c>
      <x:c r="I33" s="26" t="str">
        <x:v>قیمت عمومی هم‌دامنه ثبت نشده</x:v>
      </x:c>
      <x:c r="J33" s="26" t="str">
        <x:v>چند مدار مشخص، خط پایه و پیشنهاد مهندسی</x:v>
      </x:c>
      <x:c r="K33" s="26" t="str">
        <x:v>L3</x:v>
      </x:c>
      <x:c r="L33" s="50" t="n">
        <x:v>664</x:v>
      </x:c>
      <x:c r="M33" s="50" t="n">
        <x:v>1440</x:v>
      </x:c>
      <x:c r="N33" s="70" t="n">
        <x:f>IF(L33="","",L33*'مدل هزینه'!$B$6/1000000)</x:f>
        <x:v>398.4</x:v>
      </x:c>
      <x:c r="O33" s="70" t="n">
        <x:f>IF(M33="","",M33*'مدل هزینه'!$B$8/1000000)</x:f>
        <x:v>2160</x:v>
      </x:c>
      <x:c r="P33" s="26" t="str">
        <x:v>کیلووات با کیلووات‌ساعت فرق دارد؛ نصب برق و حفاظت تخصصی است</x:v>
      </x:c>
      <x:c r="Q33" s="26" t="str">
        <x:v>https://newsroom.kddi.com/news/detail/kddi_nr-692_4069.html
https://www.danfoss.com/da-dk/about-danfoss/news/cf/tre-aar-med-danfoss-smart-store/</x:v>
      </x:c>
    </x:row>
    <x:row r="34" ht="95" customHeight="1">
      <x:c r="A34" s="26" t="str">
        <x:v>BP030</x:v>
      </x:c>
      <x:c r="B34" s="26" t="str">
        <x:v>برودت، دما و رسیدگی</x:v>
      </x:c>
      <x:c r="C34" s="26" t="str">
        <x:v>عملیات</x:v>
      </x:c>
      <x:c r="D34" s="26" t="str">
        <x:v>M20، I15</x:v>
      </x:c>
      <x:c r="E34" s="26" t="str">
        <x:v>عرضه/نمونه مرتبط؛ استقرار فامیلی تأیید نشده</x:v>
      </x:c>
      <x:c r="F34" s="26" t="str">
        <x:v>KTG — دیتالاگرهای دما و رطوبت</x:v>
      </x:c>
      <x:c r="G34" s="26" t="str">
        <x:v>PQ028؛ 30,000,000 تومان / دستگاه
PQ029؛ 4,000,000 تومان / لایسنس
PQ030؛ 35,000,000 تومان / دستگاه</x:v>
      </x:c>
      <x:c r="H34" s="26" t="str">
        <x:v>GR038؛ Danfoss / Coop 365 / BALS؛ سایت فعال و توسعه آزمایشی</x:v>
      </x:c>
      <x:c r="I34" s="26" t="str">
        <x:v>قیمت عمومی هم‌دامنه ثبت نشده</x:v>
      </x:c>
      <x:c r="J34" s="26" t="str">
        <x:v>هشت نقطه فرضی با هشدار و پذیرش توسط مسئول</x:v>
      </x:c>
      <x:c r="K34" s="26" t="str">
        <x:v>L2</x:v>
      </x:c>
      <x:c r="L34" s="50" t="n">
        <x:v>400</x:v>
      </x:c>
      <x:c r="M34" s="50" t="n">
        <x:v>800</x:v>
      </x:c>
      <x:c r="N34" s="70" t="n">
        <x:f>IF(L34="","",L34*'مدل هزینه'!$B$6/1000000)</x:f>
        <x:v>240</x:v>
      </x:c>
      <x:c r="O34" s="70" t="n">
        <x:f>IF(M34="","",M34*'مدل هزینه'!$B$8/1000000)</x:f>
        <x:v>1200</x:v>
      </x:c>
      <x:c r="P34" s="26" t="str">
        <x:v>مدل و کالیبراسیون حسگر باید معلوم باشد؛ هشدار معادل رفع مشکل نیست</x:v>
      </x:c>
      <x:c r="Q34" s="26" t="str">
        <x:v>https://ktglabgroup.com/product/datalogger/
https://www.danfoss.com/da-dk/about-danfoss/news/cf/tre-aar-med-danfoss-smart-store/</x:v>
      </x:c>
    </x:row>
    <x:row r="35" ht="95" customHeight="1">
      <x:c r="A35" s="26" t="str">
        <x:v>BP031</x:v>
      </x:c>
      <x:c r="B35" s="26" t="str">
        <x:v>خورشیدی فروشگاه</x:v>
      </x:c>
      <x:c r="C35" s="26" t="str">
        <x:v>انرژی</x:v>
      </x:c>
      <x:c r="D35" s="26" t="str">
        <x:v>M21</x:v>
      </x:c>
      <x:c r="E35" s="26" t="str">
        <x:v>بنچمارک مستقیم ایرانی در مجموعه احراز نشد</x:v>
      </x:c>
      <x:c r="F35" s="26" t="str">
        <x:v>بنچمارک مستقیم تثبیت نشده</x:v>
      </x:c>
      <x:c r="G35" s="26" t="str">
        <x:v>نیازمند استعلام هم‌دامنه</x:v>
      </x:c>
      <x:c r="H35" s="26" t="str">
        <x:v>GR055؛ Checkers / Shoprite؛ نصب و توسعه گزارش‌شده
GR038؛ Danfoss / Coop 365 / BALS؛ سایت فعال و توسعه آزمایشی</x:v>
      </x:c>
      <x:c r="I35" s="26" t="str">
        <x:v>قیمت عمومی هم‌دامنه ثبت نشده</x:v>
      </x:c>
      <x:c r="J35" s="26" t="str">
        <x:v>پیش‌امکان‌سنجی توان پیک، بام، سایه، سازه و بار</x:v>
      </x:c>
      <x:c r="K35" s="26" t="str">
        <x:v>نامربوط/نامشخص</x:v>
      </x:c>
      <x:c r="L35" s="50"/>
      <x:c r="M35" s="50"/>
      <x:c r="N35" s="70" t="str">
        <x:f>IF(L35="","",L35*'مدل هزینه'!$B$6/1000000)</x:f>
      </x:c>
      <x:c r="O35" s="70" t="str">
        <x:f>IF(M35="","",M35*'مدل هزینه'!$B$8/1000000)</x:f>
      </x:c>
      <x:c r="P35" s="26" t="str">
        <x:v>قیمت پنل، قیمت نیروگاه کامل و مجوز اتصال نیست</x:v>
      </x:c>
      <x:c r="Q35" s="26" t="str">
        <x:v>https://www.shopriteholdings.co.za/articles/Newsroom/2022/checkers-solar-capacity-pv-intsallation.html
https://www.danfoss.com/da-dk/about-danfoss/news/cf/tre-aar-med-danfoss-smart-store/</x:v>
      </x:c>
    </x:row>
    <x:row r="36" ht="95" customHeight="1">
      <x:c r="A36" s="26" t="str">
        <x:v>BP032</x:v>
      </x:c>
      <x:c r="B36" s="26" t="str">
        <x:v>ذخیره‌ساز انرژی و برق پشتیبان</x:v>
      </x:c>
      <x:c r="C36" s="26" t="str">
        <x:v>انرژی</x:v>
      </x:c>
      <x:c r="D36" s="26" t="str">
        <x:v>M21</x:v>
      </x:c>
      <x:c r="E36" s="26" t="str">
        <x:v>بنچمارک مستقیم ایرانی در مجموعه احراز نشد</x:v>
      </x:c>
      <x:c r="F36" s="26" t="str">
        <x:v>بنچمارک مستقیم تثبیت نشده</x:v>
      </x:c>
      <x:c r="G36" s="26" t="str">
        <x:v>نیازمند استعلام هم‌دامنه</x:v>
      </x:c>
      <x:c r="H36" s="26" t="str">
        <x:v>GR038؛ Danfoss / Coop 365 / BALS؛ سایت فعال و توسعه آزمایشی</x:v>
      </x:c>
      <x:c r="I36" s="26" t="str">
        <x:v>قیمت عمومی هم‌دامنه ثبت نشده</x:v>
      </x:c>
      <x:c r="J36" s="26" t="str">
        <x:v>بار حیاتی مشخص و سناریوی مدت پشتیبانی</x:v>
      </x:c>
      <x:c r="K36" s="26" t="str">
        <x:v>نامربوط/نامشخص</x:v>
      </x:c>
      <x:c r="L36" s="50"/>
      <x:c r="M36" s="50"/>
      <x:c r="N36" s="70" t="str">
        <x:f>IF(L36="","",L36*'مدل هزینه'!$B$6/1000000)</x:f>
      </x:c>
      <x:c r="O36" s="70" t="str">
        <x:f>IF(M36="","",M36*'مدل هزینه'!$B$8/1000000)</x:f>
      </x:c>
      <x:c r="P36" s="26" t="str">
        <x:v>kWh، توان پیوسته، BMS، اینورتر و حفاظت؛ پشتیبانی کل شعبه تضمین نشده</x:v>
      </x:c>
      <x:c r="Q36" s="26" t="str">
        <x:v>https://www.danfoss.com/da-dk/about-danfoss/news/cf/tre-aar-med-danfoss-smart-store/</x:v>
      </x:c>
    </x:row>
    <x:row r="37" ht="95" customHeight="1">
      <x:c r="A37" s="26" t="str">
        <x:v>BP033</x:v>
      </x:c>
      <x:c r="B37" s="26" t="str">
        <x:v>شارژ خودرو برقی و رزرو</x:v>
      </x:c>
      <x:c r="C37" s="26" t="str">
        <x:v>انرژی</x:v>
      </x:c>
      <x:c r="D37" s="26" t="str">
        <x:v>M22</x:v>
      </x:c>
      <x:c r="E37" s="26" t="str">
        <x:v>عرضه/نمونه مرتبط؛ استقرار فامیلی تأیید نشده</x:v>
      </x:c>
      <x:c r="F37" s="26" t="str">
        <x:v>کارامید — فهرست شارژرهای کارامید
ای‌مپنا — سرنخ شارژر Afra AS2-22</x:v>
      </x:c>
      <x:c r="G37" s="26" t="str">
        <x:v>PQ026؛ 57,000,000 تومان / دستگاه
PQ027؛ 285,000,000 تومان / دستگاه</x:v>
      </x:c>
      <x:c r="H37" s="26" t="str">
        <x:v>GR039؛ Tesco / Pod Point / Volkswagen؛ نصب گسترده تاریخی اعلام‌شده
GR040؛ Tesco Clubcard / Be.EV؛ همکاری فعال اعلام‌شده در۲۰۲۶</x:v>
      </x:c>
      <x:c r="I37" s="26" t="str">
        <x:v>قیمت عمومی هم‌دامنه ثبت نشده</x:v>
      </x:c>
      <x:c r="J37" s="26" t="str">
        <x:v>یک شارژر متناسب بار سایت و مدل کسب‌وکار پارکینگ</x:v>
      </x:c>
      <x:c r="K37" s="26" t="str">
        <x:v>L2</x:v>
      </x:c>
      <x:c r="L37" s="50" t="n">
        <x:v>400</x:v>
      </x:c>
      <x:c r="M37" s="50" t="n">
        <x:v>800</x:v>
      </x:c>
      <x:c r="N37" s="70" t="n">
        <x:f>IF(L37="","",L37*'مدل هزینه'!$B$6/1000000)</x:f>
        <x:v>240</x:v>
      </x:c>
      <x:c r="O37" s="70" t="n">
        <x:f>IF(M37="","",M37*'مدل هزینه'!$B$8/1000000)</x:f>
        <x:v>1200</x:v>
      </x:c>
      <x:c r="P37" s="26" t="str">
        <x:v>۷کیلووات AC با DCفست قابل قیاس نیست؛ نصب و افزایش انشعاب جدا</x:v>
      </x:c>
      <x:c r="Q37" s="26" t="str">
        <x:v>https://caramid.ir/shop/
https://www.emapna.com/store
https://www.tescoplc.com/news/2023/tesco-celebrates-reaching-target-of-600-stores-with-electric-charging-points-saving-more-than-24-000-tonnes-of-carbon-emissions/
https://www.tescoplc.com/electric-vehicle-drivers-can-now-earn-points-when-charging-at-more-than-600-locations-as-beev-joins-tesco-clubcard/</x:v>
      </x:c>
    </x:row>
    <x:row r="38" ht="95" customHeight="1">
      <x:c r="A38" s="26" t="str">
        <x:v>BP034</x:v>
      </x:c>
      <x:c r="B38" s="26" t="str">
        <x:v>پارکینگ و شارژ موتورسیکلت</x:v>
      </x:c>
      <x:c r="C38" s="26" t="str">
        <x:v>انرژی</x:v>
      </x:c>
      <x:c r="D38" s="26" t="str">
        <x:v>M22</x:v>
      </x:c>
      <x:c r="E38" s="26" t="str">
        <x:v>بنچمارک مستقیم ایرانی در مجموعه احراز نشد</x:v>
      </x:c>
      <x:c r="F38" s="26" t="str">
        <x:v>بنچمارک مستقیم تثبیت نشده</x:v>
      </x:c>
      <x:c r="G38" s="26" t="str">
        <x:v>نیازمند استعلام هم‌دامنه</x:v>
      </x:c>
      <x:c r="H38" s="26" t="str">
        <x:v>شکاف پژوهشی</x:v>
      </x:c>
      <x:c r="I38" s="26" t="str">
        <x:v>قیمت عمومی هم‌دامنه ثبت نشده</x:v>
      </x:c>
      <x:c r="J38" s="26" t="str">
        <x:v>پیش‌مطالعه کانکتور/باتری و بهره‌برداری محل</x:v>
      </x:c>
      <x:c r="K38" s="26" t="str">
        <x:v>نامربوط/نامشخص</x:v>
      </x:c>
      <x:c r="L38" s="50"/>
      <x:c r="M38" s="50"/>
      <x:c r="N38" s="70" t="str">
        <x:f>IF(L38="","",L38*'مدل هزینه'!$B$6/1000000)</x:f>
      </x:c>
      <x:c r="O38" s="70" t="str">
        <x:f>IF(M38="","",M38*'مدل هزینه'!$B$8/1000000)</x:f>
      </x:c>
      <x:c r="P38" s="26" t="str">
        <x:v>باتری و شارژر نامتناسب خطر دارد؛ قیمت شارژر خودرو جانشین آن نیست</x:v>
      </x:c>
      <x:c r="Q38" s="26" t="str"/>
    </x:row>
    <x:row r="39" ht="95" customHeight="1">
      <x:c r="A39" s="26" t="str">
        <x:v>BP035</x:v>
      </x:c>
      <x:c r="B39" s="26" t="str">
        <x:v>باشگاه و پیام‌رسان بیرون فروشگاه</x:v>
      </x:c>
      <x:c r="C39" s="26" t="str">
        <x:v>تجربه مشتری</x:v>
      </x:c>
      <x:c r="D39" s="26" t="str">
        <x:v>M23، I01</x:v>
      </x:c>
      <x:c r="E39" s="26" t="str">
        <x:v>مؤلفه یا نمونه همجوار؛ تطابق کامل احراز نشده</x:v>
      </x:c>
      <x:c r="F39" s="26" t="str">
        <x:v>دیدار — تعرفه CRM دیدار</x:v>
      </x:c>
      <x:c r="G39" s="26" t="str">
        <x:v>نیازمند استعلام هم‌دامنه</x:v>
      </x:c>
      <x:c r="H39" s="26" t="str">
        <x:v>GR026؛ JioMart / Meta؛ خدمت راه‌اندازی‌شده طبق ناشر
GR022؛ Qwen / Alibaba؛ کاربرد در کمپین اعلام‌شده</x:v>
      </x:c>
      <x:c r="I39" s="26" t="str">
        <x:v>قیمت عمومی هم‌دامنه ثبت نشده</x:v>
      </x:c>
      <x:c r="J39" s="26" t="str">
        <x:v>یک سناریوی رضایت‌محور با امکان توقف پیام و داده مجاز</x:v>
      </x:c>
      <x:c r="K39" s="26" t="str">
        <x:v>L3</x:v>
      </x:c>
      <x:c r="L39" s="50" t="n">
        <x:v>664</x:v>
      </x:c>
      <x:c r="M39" s="50" t="n">
        <x:v>1440</x:v>
      </x:c>
      <x:c r="N39" s="70" t="n">
        <x:f>IF(L39="","",L39*'مدل هزینه'!$B$6/1000000)</x:f>
        <x:v>398.4</x:v>
      </x:c>
      <x:c r="O39" s="70" t="n">
        <x:f>IF(M39="","",M39*'مدل هزینه'!$B$8/1000000)</x:f>
        <x:v>2160</x:v>
      </x:c>
      <x:c r="P39" s="26" t="str">
        <x:v>CRM فروش با باشگاه B2C و پلتفرم پیام‌رسان یکی نیست؛ تنها مؤلفه همجوار معرفی شده است.</x:v>
      </x:c>
      <x:c r="Q39" s="26" t="str">
        <x:v>https://didar.me/tariff/
https://about.fb.com/news/2022/08/shop-on-whatsapp-with-jiomart-in-india/
https://www.alizila.com/qwen-apps-cny-campaign-attracts-over-120-million-orders/</x:v>
      </x:c>
    </x:row>
    <x:row r="40" ht="95" customHeight="1">
      <x:c r="A40" s="26" t="str">
        <x:v>BP036</x:v>
      </x:c>
      <x:c r="B40" s="26" t="str">
        <x:v>پیامک و مدیریت ارتباط</x:v>
      </x:c>
      <x:c r="C40" s="26" t="str">
        <x:v>تجربه مشتری</x:v>
      </x:c>
      <x:c r="D40" s="26" t="str">
        <x:v>M24</x:v>
      </x:c>
      <x:c r="E40" s="26" t="str">
        <x:v>سرنخ ایرانی؛ تعرفه و محتوا بازیابی نشد</x:v>
      </x:c>
      <x:c r="F40" s="26" t="str">
        <x:v>کاوه‌نگار — مسیر تعرفه کاوه‌نگار</x:v>
      </x:c>
      <x:c r="G40" s="26" t="str">
        <x:v>نیازمند استعلام هم‌دامنه</x:v>
      </x:c>
      <x:c r="H40" s="26" t="str">
        <x:v>شکاف پژوهشی</x:v>
      </x:c>
      <x:c r="I40" s="26" t="str">
        <x:v>قیمت عمومی هم‌دامنه ثبت نشده</x:v>
      </x:c>
      <x:c r="J40" s="26" t="str">
        <x:v>یک جریان اطلاع‌رسانی با گزارش تحویل و توقف دریافت</x:v>
      </x:c>
      <x:c r="K40" s="26" t="str">
        <x:v>L2</x:v>
      </x:c>
      <x:c r="L40" s="50" t="n">
        <x:v>400</x:v>
      </x:c>
      <x:c r="M40" s="50" t="n">
        <x:v>800</x:v>
      </x:c>
      <x:c r="N40" s="70" t="n">
        <x:f>IF(L40="","",L40*'مدل هزینه'!$B$6/1000000)</x:f>
        <x:v>240</x:v>
      </x:c>
      <x:c r="O40" s="70" t="n">
        <x:f>IF(M40="","",M40*'مدل هزینه'!$B$8/1000000)</x:f>
        <x:v>1200</x:v>
      </x:c>
      <x:c r="P40" s="26" t="str">
        <x:v>هزینه پنل، خط، هر قطعه پیام و خدماتی/تبلیغاتی جداست</x:v>
      </x:c>
      <x:c r="Q40" s="26" t="str">
        <x:v>https://www.kavenegar.com/pricing</x:v>
      </x:c>
    </x:row>
    <x:row r="41" ht="95" customHeight="1">
      <x:c r="A41" s="26" t="str">
        <x:v>BP037</x:v>
      </x:c>
      <x:c r="B41" s="26" t="str">
        <x:v>خدمت USSD بدون اپ</x:v>
      </x:c>
      <x:c r="C41" s="26" t="str">
        <x:v>تجربه مشتری</x:v>
      </x:c>
      <x:c r="D41" s="26" t="str">
        <x:v>M25</x:v>
      </x:c>
      <x:c r="E41" s="26" t="str">
        <x:v>بنچمارک مستقیم ایرانی در مجموعه احراز نشد</x:v>
      </x:c>
      <x:c r="F41" s="26" t="str">
        <x:v>بنچمارک مستقیم تثبیت نشده</x:v>
      </x:c>
      <x:c r="G41" s="26" t="str">
        <x:v>نیازمند استعلام هم‌دامنه</x:v>
      </x:c>
      <x:c r="H41" s="26" t="str">
        <x:v>شکاف پژوهشی</x:v>
      </x:c>
      <x:c r="I41" s="26" t="str">
        <x:v>قیمت عمومی هم‌دامنه ثبت نشده</x:v>
      </x:c>
      <x:c r="J41" s="26" t="str">
        <x:v>یک منوی محدود با اپراتور و کد واگذارشده معتبر</x:v>
      </x:c>
      <x:c r="K41" s="26" t="str">
        <x:v>L2</x:v>
      </x:c>
      <x:c r="L41" s="50" t="n">
        <x:v>400</x:v>
      </x:c>
      <x:c r="M41" s="50" t="n">
        <x:v>800</x:v>
      </x:c>
      <x:c r="N41" s="70" t="n">
        <x:f>IF(L41="","",L41*'مدل هزینه'!$B$6/1000000)</x:f>
        <x:v>240</x:v>
      </x:c>
      <x:c r="O41" s="70" t="n">
        <x:f>IF(M41="","",M41*'مدل هزینه'!$B$8/1000000)</x:f>
        <x:v>1200</x:v>
      </x:c>
      <x:c r="P41" s="26" t="str">
        <x:v>کد نمونه فعال محسوب نمی‌شود؛ تعرفه نشست و کد نیازمند قرارداد</x:v>
      </x:c>
      <x:c r="Q41" s="26" t="str"/>
    </x:row>
    <x:row r="42" ht="95" customHeight="1">
      <x:c r="A42" s="26" t="str">
        <x:v>BP038</x:v>
      </x:c>
      <x:c r="B42" s="26" t="str">
        <x:v>سبد خرید در سقف بودجه</x:v>
      </x:c>
      <x:c r="C42" s="26" t="str">
        <x:v>تجربه مشتری</x:v>
      </x:c>
      <x:c r="D42" s="26" t="str">
        <x:v>I01، HC02</x:v>
      </x:c>
      <x:c r="E42" s="26" t="str">
        <x:v>بنچمارک مستقیم ایرانی در مجموعه احراز نشد</x:v>
      </x:c>
      <x:c r="F42" s="26" t="str">
        <x:v>بنچمارک مستقیم تثبیت نشده</x:v>
      </x:c>
      <x:c r="G42" s="26" t="str">
        <x:v>نیازمند استعلام هم‌دامنه</x:v>
      </x:c>
      <x:c r="H42" s="26" t="str">
        <x:v>GR022؛ Qwen / Alibaba؛ کاربرد در کمپین اعلام‌شده
GR053؛ Checkers Sixty60 / ShopriteX؛ خدمت عرضه‌شده در۲۰۲۶</x:v>
      </x:c>
      <x:c r="I42" s="26" t="str">
        <x:v>قیمت عمومی هم‌دامنه ثبت نشده</x:v>
      </x:c>
      <x:c r="J42" s="26" t="str">
        <x:v>یک شعبه، کاتالوگ معتبر و جایگزین‌های قابل‌تأیید مشتری</x:v>
      </x:c>
      <x:c r="K42" s="26" t="str">
        <x:v>L3</x:v>
      </x:c>
      <x:c r="L42" s="50" t="n">
        <x:v>664</x:v>
      </x:c>
      <x:c r="M42" s="50" t="n">
        <x:v>1440</x:v>
      </x:c>
      <x:c r="N42" s="70" t="n">
        <x:f>IF(L42="","",L42*'مدل هزینه'!$B$6/1000000)</x:f>
        <x:v>398.4</x:v>
      </x:c>
      <x:c r="O42" s="70" t="n">
        <x:f>IF(M42="","",M42*'مدل هزینه'!$B$8/1000000)</x:f>
        <x:v>2160</x:v>
      </x:c>
      <x:c r="P42" s="26" t="str">
        <x:v>مدل نباید قیمت یا موجودی بسازد؛ هزینه مدل و داده جدا</x:v>
      </x:c>
      <x:c r="Q42" s="26" t="str">
        <x:v>https://www.alizila.com/qwen-apps-cny-campaign-attracts-over-120-million-orders/
https://www.shopriteholdings.co.za/newsroom/2026/pixie-ai-launch.html</x:v>
      </x:c>
    </x:row>
    <x:row r="43" ht="95" customHeight="1">
      <x:c r="A43" s="26" t="str">
        <x:v>BP039</x:v>
      </x:c>
      <x:c r="B43" s="26" t="str">
        <x:v>ترازوی بینا برای کالای وزنی</x:v>
      </x:c>
      <x:c r="C43" s="26" t="str">
        <x:v>تجهیزات فروشگاهی</x:v>
      </x:c>
      <x:c r="D43" s="26" t="str">
        <x:v>I05</x:v>
      </x:c>
      <x:c r="E43" s="26" t="str">
        <x:v>بنچمارک مستقیم ایرانی در مجموعه احراز نشد</x:v>
      </x:c>
      <x:c r="F43" s="26" t="str">
        <x:v>بنچمارک مستقیم تثبیت نشده</x:v>
      </x:c>
      <x:c r="G43" s="26" t="str">
        <x:v>نیازمند استعلام هم‌دامنه</x:v>
      </x:c>
      <x:c r="H43" s="26" t="str">
        <x:v>GR028؛ Woolworths؛ قابلیت توصیف‌شده در سیاست عمومی
GR037؛ Bizerba K3 800؛ محصول قابل استعلام</x:v>
      </x:c>
      <x:c r="I43" s="26" t="str">
        <x:v>قیمت عمومی هم‌دامنه ثبت نشده</x:v>
      </x:c>
      <x:c r="J43" s="26" t="str">
        <x:v>۲۰قلم منتخب، تأیید نوع محصول و وزن از ترازو</x:v>
      </x:c>
      <x:c r="K43" s="26" t="str">
        <x:v>L3</x:v>
      </x:c>
      <x:c r="L43" s="50" t="n">
        <x:v>664</x:v>
      </x:c>
      <x:c r="M43" s="50" t="n">
        <x:v>1440</x:v>
      </x:c>
      <x:c r="N43" s="70" t="n">
        <x:f>IF(L43="","",L43*'مدل هزینه'!$B$6/1000000)</x:f>
        <x:v>398.4</x:v>
      </x:c>
      <x:c r="O43" s="70" t="n">
        <x:f>IF(M43="","",M43*'مدل هزینه'!$B$8/1000000)</x:f>
        <x:v>2160</x:v>
      </x:c>
      <x:c r="P43" s="26" t="str">
        <x:v>تشخیص تصویر، اندازه‌گیری وزن یا کیفیت غذایی نیست</x:v>
      </x:c>
      <x:c r="Q43" s="26" t="str">
        <x:v>https://www.woolworthsgroup.com.au/au/en/privacy/in-store-technology-and-your-privacy.html
https://www.bizerba.com/int/en/products/k3-800</x:v>
      </x:c>
    </x:row>
    <x:row r="44" ht="95" customHeight="1">
      <x:c r="A44" s="26" t="str">
        <x:v>BP040</x:v>
      </x:c>
      <x:c r="B44" s="26" t="str">
        <x:v>فامیلی مهمانی و سفارش آماده‌سازی</x:v>
      </x:c>
      <x:c r="C44" s="26" t="str">
        <x:v>تجربه مشتری</x:v>
      </x:c>
      <x:c r="D44" s="26" t="str">
        <x:v>I06، HC06</x:v>
      </x:c>
      <x:c r="E44" s="26" t="str">
        <x:v>بنچمارک مستقیم ایرانی در مجموعه احراز نشد</x:v>
      </x:c>
      <x:c r="F44" s="26" t="str">
        <x:v>بنچمارک مستقیم تثبیت نشده</x:v>
      </x:c>
      <x:c r="G44" s="26" t="str">
        <x:v>نیازمند استعلام هم‌دامنه</x:v>
      </x:c>
      <x:c r="H44" s="26" t="str">
        <x:v>GR011؛ FoodStorm؛ محصول تجاری معرفی‌شده
GR032؛ Albert Heijn؛ خدمت مصرف‌کننده معرفی‌شده</x:v>
      </x:c>
      <x:c r="I44" s="26" t="str">
        <x:v>قیمت عمومی هم‌دامنه ثبت نشده</x:v>
      </x:c>
      <x:c r="J44" s="26" t="str">
        <x:v>چند بسته مشخص و اسلات ظرفیت/زمان تحویل</x:v>
      </x:c>
      <x:c r="K44" s="26" t="str">
        <x:v>L3</x:v>
      </x:c>
      <x:c r="L44" s="50" t="n">
        <x:v>664</x:v>
      </x:c>
      <x:c r="M44" s="50" t="n">
        <x:v>1440</x:v>
      </x:c>
      <x:c r="N44" s="70" t="n">
        <x:f>IF(L44="","",L44*'مدل هزینه'!$B$6/1000000)</x:f>
        <x:v>398.4</x:v>
      </x:c>
      <x:c r="O44" s="70" t="n">
        <x:f>IF(M44="","",M44*'مدل هزینه'!$B$8/1000000)</x:f>
        <x:v>2160</x:v>
      </x:c>
      <x:c r="P44" s="26" t="str">
        <x:v>فعالیت غذایی موجود یا شریک مجاز؛ هزینه آماده‌سازی و ضایعات</x:v>
      </x:c>
      <x:c r="Q44" s="26" t="str">
        <x:v>https://www.foodstorm.com/blog/self-service-kiosk
https://aholddelhaize.com/digitalannualreport/2025/</x:v>
      </x:c>
    </x:row>
    <x:row r="45" ht="95" customHeight="1">
      <x:c r="A45" s="26" t="str">
        <x:v>BP041</x:v>
      </x:c>
      <x:c r="B45" s="26" t="str">
        <x:v>تحویل در مسیر و لاکر</x:v>
      </x:c>
      <x:c r="C45" s="26" t="str">
        <x:v>خدمات جانبی</x:v>
      </x:c>
      <x:c r="D45" s="26" t="str">
        <x:v>I07، HC08</x:v>
      </x:c>
      <x:c r="E45" s="26" t="str">
        <x:v>بنچمارک مستقیم ایرانی در مجموعه احراز نشد</x:v>
      </x:c>
      <x:c r="F45" s="26" t="str">
        <x:v>بنچمارک مستقیم تثبیت نشده</x:v>
      </x:c>
      <x:c r="G45" s="26" t="str">
        <x:v>نیازمند استعلام هم‌دامنه</x:v>
      </x:c>
      <x:c r="H45" s="26" t="str">
        <x:v>GR045؛ Loblaw / Flashfood؛ گسترش گزارش‌شده با شاهد۲۰۲۶</x:v>
      </x:c>
      <x:c r="I45" s="26" t="str">
        <x:v>قیمت عمومی هم‌دامنه ثبت نشده</x:v>
      </x:c>
      <x:c r="J45" s="26" t="str">
        <x:v>یک پیشخوان تحویل؛ لاکر پس از تقاضا و رژیم دما</x:v>
      </x:c>
      <x:c r="K45" s="26" t="str">
        <x:v>L2</x:v>
      </x:c>
      <x:c r="L45" s="50" t="n">
        <x:v>400</x:v>
      </x:c>
      <x:c r="M45" s="50" t="n">
        <x:v>800</x:v>
      </x:c>
      <x:c r="N45" s="70" t="n">
        <x:f>IF(L45="","",L45*'مدل هزینه'!$B$6/1000000)</x:f>
        <x:v>240</x:v>
      </x:c>
      <x:c r="O45" s="70" t="n">
        <x:f>IF(M45="","",M45*'مدل هزینه'!$B$8/1000000)</x:f>
        <x:v>1200</x:v>
      </x:c>
      <x:c r="P45" s="26" t="str">
        <x:v>لاکر معمولی با سرد/منجمد هم‌رده نیست؛ هزینه هر محفظه و کنترلر</x:v>
      </x:c>
      <x:c r="Q45" s="26" t="str">
        <x:v>https://www.loblaw.ca/en/loblaw-and-flashfood-helped-canadians-save-58-million-on-groceries-in-2025/</x:v>
      </x:c>
    </x:row>
    <x:row r="46" ht="95" customHeight="1">
      <x:c r="A46" s="26" t="str">
        <x:v>BP042</x:v>
      </x:c>
      <x:c r="B46" s="26" t="str">
        <x:v>خرید دسترس‌پذیر و خدمت همراه</x:v>
      </x:c>
      <x:c r="C46" s="26" t="str">
        <x:v>تجربه مشتری</x:v>
      </x:c>
      <x:c r="D46" s="26" t="str">
        <x:v>I08، HC04</x:v>
      </x:c>
      <x:c r="E46" s="26" t="str">
        <x:v>بنچمارک مستقیم ایرانی در مجموعه احراز نشد</x:v>
      </x:c>
      <x:c r="F46" s="26" t="str">
        <x:v>بنچمارک مستقیم تثبیت نشده</x:v>
      </x:c>
      <x:c r="G46" s="26" t="str">
        <x:v>نیازمند استعلام هم‌دامنه</x:v>
      </x:c>
      <x:c r="H46" s="26" t="str">
        <x:v>GR030؛ Jumbo؛ نمونه فعال تاریخی و هدف توسعه
GR074؛ Kellogg / NaviLens؛ عرضه اعلام‌شده پس از پایلوت
GR025؛ FairPrice Finest؛ فروشگاه افتتاح‌شده</x:v>
      </x:c>
      <x:c r="I46" s="26" t="str">
        <x:v>قیمت عمومی هم‌دامنه ثبت نشده</x:v>
      </x:c>
      <x:c r="J46" s="26" t="str">
        <x:v>متن درشت، مسیر قابل‌فهم، دریافت کمک و آزمون با کاربران متنوع</x:v>
      </x:c>
      <x:c r="K46" s="26" t="str">
        <x:v>L2</x:v>
      </x:c>
      <x:c r="L46" s="50" t="n">
        <x:v>400</x:v>
      </x:c>
      <x:c r="M46" s="50" t="n">
        <x:v>800</x:v>
      </x:c>
      <x:c r="N46" s="70" t="n">
        <x:f>IF(L46="","",L46*'مدل هزینه'!$B$6/1000000)</x:f>
        <x:v>240</x:v>
      </x:c>
      <x:c r="O46" s="70" t="n">
        <x:f>IF(M46="","",M46*'مدل هزینه'!$B$8/1000000)</x:f>
        <x:v>1200</x:v>
      </x:c>
      <x:c r="P46" s="26" t="str">
        <x:v>قابلیت دسترس‌پذیری با تشخیص معلولیت از تصویر یکی نیست</x:v>
      </x:c>
      <x:c r="Q46" s="26" t="str">
        <x:v>https://www.jumbo.com/nieuws/jumbo-geeft-startschot-voor-opening-200-kletskassas/
https://www.prnewswire.com/news-releases/kellogg-empowers-blind-consumers-in-us-with-navilens-technology-on-packaging-301702736.html
https://www.fairpricegroup.com.sg/new-digital-first-fairprice-finest-opens-at-sengkang-grand-mall/</x:v>
      </x:c>
    </x:row>
    <x:row r="47" ht="95" customHeight="1">
      <x:c r="A47" s="26" t="str">
        <x:v>BP043</x:v>
      </x:c>
      <x:c r="B47" s="26" t="str">
        <x:v>رسید و مرجوعی دیجیتال</x:v>
      </x:c>
      <x:c r="C47" s="26" t="str">
        <x:v>تجربه مشتری</x:v>
      </x:c>
      <x:c r="D47" s="26" t="str">
        <x:v>I09</x:v>
      </x:c>
      <x:c r="E47" s="26" t="str">
        <x:v>مؤلفه یا نمونه همجوار؛ تطابق کامل احراز نشده</x:v>
      </x:c>
      <x:c r="F47" s="26" t="str">
        <x:v>حسابفا — تعرفه حسابفا</x:v>
      </x:c>
      <x:c r="G47" s="26" t="str">
        <x:v>نیازمند استعلام هم‌دامنه</x:v>
      </x:c>
      <x:c r="H47" s="26" t="str">
        <x:v>GR002؛ Walmart؛ استفاده اولیه و توسعه اعلام‌شده
Freshworks — تعرفه Freshdesk
Chatwoot — تعرفه Cloud Chatwoot</x:v>
      </x:c>
      <x:c r="I47" s="26" t="str">
        <x:v>PQ055؛ 19 USD / اپراتور/ماه
PQ056؛ 55 USD / اپراتور/ماه
PQ057؛ 89 USD / اپراتور/ماه
PQ058؛ 19 USD / اپراتور/ماه
PQ059؛ 39 USD / اپراتور/ماه</x:v>
      </x:c>
      <x:c r="J47" s="26" t="str">
        <x:v>یک مسیر رسید تا پرونده مرجوعی، تطبیق پول و موجودی</x:v>
      </x:c>
      <x:c r="K47" s="26" t="str">
        <x:v>L3</x:v>
      </x:c>
      <x:c r="L47" s="50" t="n">
        <x:v>664</x:v>
      </x:c>
      <x:c r="M47" s="50" t="n">
        <x:v>1440</x:v>
      </x:c>
      <x:c r="N47" s="70" t="n">
        <x:f>IF(L47="","",L47*'مدل هزینه'!$B$6/1000000)</x:f>
        <x:v>398.4</x:v>
      </x:c>
      <x:c r="O47" s="70" t="n">
        <x:f>IF(M47="","",M47*'مدل هزینه'!$B$8/1000000)</x:f>
        <x:v>2160</x:v>
      </x:c>
      <x:c r="P47" s="26" t="str">
        <x:v>Helpdesk قیمت کل اتصال مرجوعی نیست؛ اختیار مالی انسانی بماند</x:v>
      </x:c>
      <x:c r="Q47" s="26" t="str">
        <x:v>https://www.hesabfa.com/prices
https://corporate.walmart.com/news/2025/06/24/walmart-unveils-new-ai-powered-tools-to-empower-1-5-million-associates
https://www.freshworks.com/freshdesk/pricing/
https://www.chatwoot.com/pricing</x:v>
      </x:c>
    </x:row>
    <x:row r="48" ht="95" customHeight="1">
      <x:c r="A48" s="26" t="str">
        <x:v>BP044</x:v>
      </x:c>
      <x:c r="B48" s="26" t="str">
        <x:v>ویدئوی قابل خرید و مجری دیجیتال</x:v>
      </x:c>
      <x:c r="C48" s="26" t="str">
        <x:v>تبلیغات و بازاریابی</x:v>
      </x:c>
      <x:c r="D48" s="26" t="str">
        <x:v>I10</x:v>
      </x:c>
      <x:c r="E48" s="26" t="str">
        <x:v>بنچمارک مستقیم ایرانی در مجموعه احراز نشد</x:v>
      </x:c>
      <x:c r="F48" s="26" t="str">
        <x:v>بنچمارک مستقیم تثبیت نشده</x:v>
      </x:c>
      <x:c r="G48" s="26" t="str">
        <x:v>نیازمند استعلام هم‌دامنه</x:v>
      </x:c>
      <x:c r="H48" s="26" t="str">
        <x:v>GR020؛ JD.com / JD Cloud؛ اجرای کمپین و محصول تجاری اعلام‌شده</x:v>
      </x:c>
      <x:c r="I48" s="26" t="str">
        <x:v>قیمت عمومی هم‌دامنه ثبت نشده</x:v>
      </x:c>
      <x:c r="J48" s="26" t="str">
        <x:v>ویدئوی یک دسته با سبد موجود و محتوای تأییدشده</x:v>
      </x:c>
      <x:c r="K48" s="26" t="str">
        <x:v>L3</x:v>
      </x:c>
      <x:c r="L48" s="50" t="n">
        <x:v>664</x:v>
      </x:c>
      <x:c r="M48" s="50" t="n">
        <x:v>1440</x:v>
      </x:c>
      <x:c r="N48" s="70" t="n">
        <x:f>IF(L48="","",L48*'مدل هزینه'!$B$6/1000000)</x:f>
        <x:v>398.4</x:v>
      </x:c>
      <x:c r="O48" s="70" t="n">
        <x:f>IF(M48="","",M48*'مدل هزینه'!$B$8/1000000)</x:f>
        <x:v>2160</x:v>
      </x:c>
      <x:c r="P48" s="26" t="str">
        <x:v>آواتار ضروری نیست؛ موجودی، حقوق محتوا و خطای توضیح کنترل شود</x:v>
      </x:c>
      <x:c r="Q48" s="26" t="str">
        <x:v>https://jdcorporateblog.com/jd-com-debuts-ai-digital-representative-of-founder-richard-liu-during-livestream-drawing-20-million-views-in-under-one-hour/</x:v>
      </x:c>
    </x:row>
    <x:row r="49" ht="95" customHeight="1">
      <x:c r="A49" s="26" t="str">
        <x:v>BP045</x:v>
      </x:c>
      <x:c r="B49" s="26" t="str">
        <x:v>پیش‌بینی و تجدید سفارش</x:v>
      </x:c>
      <x:c r="C49" s="26" t="str">
        <x:v>عملیات</x:v>
      </x:c>
      <x:c r="D49" s="26" t="str">
        <x:v>I13</x:v>
      </x:c>
      <x:c r="E49" s="26" t="str">
        <x:v>مؤلفه یا نمونه همجوار؛ تطابق کامل احراز نشده</x:v>
      </x:c>
      <x:c r="F49" s="26" t="str">
        <x:v>آرین سیستم — راهکار ERP آرین سیستم
مجله مدیریت تولید و عملیات، دانشگاه اصفهان — پیش‌بینی تقاضای یکپارچه DTW+NAR/NARX</x:v>
      </x:c>
      <x:c r="G49" s="26" t="str">
        <x:v>نیازمند استعلام هم‌دامنه</x:v>
      </x:c>
      <x:c r="H49" s="26" t="str">
        <x:v>GR009؛ Albertsons / Afresh؛ گسترش تکمیل‌شده طبق عرضه‌کننده</x:v>
      </x:c>
      <x:c r="I49" s="26" t="str">
        <x:v>قیمت عمومی هم‌دامنه ثبت نشده</x:v>
      </x:c>
      <x:c r="J49" s="26" t="str">
        <x:v>۵۰۰ترکیب کالا-شعبه، خط پایه آماری و پیشنهاد بدون اعمال خودکار</x:v>
      </x:c>
      <x:c r="K49" s="26" t="str">
        <x:v>L3</x:v>
      </x:c>
      <x:c r="L49" s="50" t="n">
        <x:v>664</x:v>
      </x:c>
      <x:c r="M49" s="50" t="n">
        <x:v>1440</x:v>
      </x:c>
      <x:c r="N49" s="70" t="n">
        <x:f>IF(L49="","",L49*'مدل هزینه'!$B$6/1000000)</x:f>
        <x:v>398.4</x:v>
      </x:c>
      <x:c r="O49" s="70" t="n">
        <x:f>IF(M49="","",M49*'مدل هزینه'!$B$8/1000000)</x:f>
        <x:v>2160</x:v>
      </x:c>
      <x:c r="P49" s="26" t="str">
        <x:v>صفر فروش با صفر تقاضا یکی نیست؛ موجودی/زمان تأمین/فصل لازم است</x:v>
      </x:c>
      <x:c r="Q49" s="26" t="str">
        <x:v>https://www.ariansystem.net/erp/
https://jpom.ui.ac.ir/article_27478.html
https://www.afresh.com/resources/afresh-completes-ai-powered-fresh-replenishment-and-inventory-management-solution-roll-out-across-all-albertsons-companies-fresh-departments/press-release</x:v>
      </x:c>
    </x:row>
    <x:row r="50" ht="95" customHeight="1">
      <x:c r="A50" s="26" t="str">
        <x:v>BP046</x:v>
      </x:c>
      <x:c r="B50" s="26" t="str">
        <x:v>انقضا، کاهش قیمت و مازاد</x:v>
      </x:c>
      <x:c r="C50" s="26" t="str">
        <x:v>عملیات</x:v>
      </x:c>
      <x:c r="D50" s="26" t="str">
        <x:v>I14، HC06</x:v>
      </x:c>
      <x:c r="E50" s="26" t="str">
        <x:v>بنچمارک مستقیم ایرانی در مجموعه احراز نشد</x:v>
      </x:c>
      <x:c r="F50" s="26" t="str">
        <x:v>بنچمارک مستقیم تثبیت نشده</x:v>
      </x:c>
      <x:c r="G50" s="26" t="str">
        <x:v>نیازمند استعلام هم‌دامنه</x:v>
      </x:c>
      <x:c r="H50" s="26" t="str">
        <x:v>GR035؛ Edeka Rhein-Ruhr / Wasteless؛ پیاده‌سازی طبق مطالعه موردی فروشنده
GR045؛ Loblaw / Flashfood؛ گسترش گزارش‌شده با شاهد۲۰۲۶</x:v>
      </x:c>
      <x:c r="I50" s="26" t="str">
        <x:v>قیمت عمومی هم‌دامنه ثبت نشده</x:v>
      </x:c>
      <x:c r="J50" s="26" t="str">
        <x:v>یک دسته دارای تاریخ، تأیید کیفیت و ثبت تخفیف</x:v>
      </x:c>
      <x:c r="K50" s="26" t="str">
        <x:v>L3</x:v>
      </x:c>
      <x:c r="L50" s="50" t="n">
        <x:v>664</x:v>
      </x:c>
      <x:c r="M50" s="50" t="n">
        <x:v>1440</x:v>
      </x:c>
      <x:c r="N50" s="70" t="n">
        <x:f>IF(L50="","",L50*'مدل هزینه'!$B$6/1000000)</x:f>
        <x:v>398.4</x:v>
      </x:c>
      <x:c r="O50" s="70" t="n">
        <x:f>IF(M50="","",M50*'مدل هزینه'!$B$8/1000000)</x:f>
        <x:v>2160</x:v>
      </x:c>
      <x:c r="P50" s="26" t="str">
        <x:v>قیمت‌کاهی تاریخ مصرف را تمدید نمی‌کند؛ سود و ضایعات دوباره‌شماری نشوند</x:v>
      </x:c>
      <x:c r="Q50" s="26" t="str">
        <x:v>https://www.wasteless.com/success/edeka-achieves-dramatic-waste-reduction-and-margin-gains-with-wasteless-ai-powered-markdowns
https://www.loblaw.ca/en/loblaw-and-flashfood-helped-canadians-save-58-million-on-groceries-in-2025/</x:v>
      </x:c>
    </x:row>
    <x:row r="51" ht="95" customHeight="1">
      <x:c r="A51" s="26" t="str">
        <x:v>BP047</x:v>
      </x:c>
      <x:c r="B51" s="26" t="str">
        <x:v>تخفیف قراردادی و مطالبات تأمین‌کننده</x:v>
      </x:c>
      <x:c r="C51" s="26" t="str">
        <x:v>مدیریت</x:v>
      </x:c>
      <x:c r="D51" s="26" t="str">
        <x:v>I17</x:v>
      </x:c>
      <x:c r="E51" s="26" t="str">
        <x:v>مؤلفه یا نمونه همجوار؛ تطابق کامل احراز نشده</x:v>
      </x:c>
      <x:c r="F51" s="26" t="str">
        <x:v>آرین سیستم — راهکار ERP آرین سیستم</x:v>
      </x:c>
      <x:c r="G51" s="26" t="str">
        <x:v>نیازمند استعلام هم‌دامنه</x:v>
      </x:c>
      <x:c r="H51" s="26" t="str">
        <x:v>GR012؛ Enable؛ محصول تجاری معرفی‌شده</x:v>
      </x:c>
      <x:c r="I51" s="26" t="str">
        <x:v>قیمت عمومی هم‌دامنه ثبت نشده</x:v>
      </x:c>
      <x:c r="J51" s="26" t="str">
        <x:v>۱۰قرارداد مجاز، استخراج بند با بازبینی و تطبیق خرید</x:v>
      </x:c>
      <x:c r="K51" s="26" t="str">
        <x:v>L3</x:v>
      </x:c>
      <x:c r="L51" s="50" t="n">
        <x:v>664</x:v>
      </x:c>
      <x:c r="M51" s="50" t="n">
        <x:v>1440</x:v>
      </x:c>
      <x:c r="N51" s="70" t="n">
        <x:f>IF(L51="","",L51*'مدل هزینه'!$B$6/1000000)</x:f>
        <x:v>398.4</x:v>
      </x:c>
      <x:c r="O51" s="70" t="n">
        <x:f>IF(M51="","",M51*'مدل هزینه'!$B$8/1000000)</x:f>
        <x:v>2160</x:v>
      </x:c>
      <x:c r="P51" s="26" t="str">
        <x:v>هشدار نرم‌افزار مطالبه قطعی یا وصول‌شده نیست</x:v>
      </x:c>
      <x:c r="Q51" s="26" t="str">
        <x:v>https://www.ariansystem.net/erp/
https://www.enable.com/</x:v>
      </x:c>
    </x:row>
    <x:row r="52" ht="95" customHeight="1">
      <x:c r="A52" s="26" t="str">
        <x:v>BP048</x:v>
      </x:c>
      <x:c r="B52" s="26" t="str">
        <x:v>همیار فارسی کارکنان</x:v>
      </x:c>
      <x:c r="C52" s="26" t="str">
        <x:v>کارکنان</x:v>
      </x:c>
      <x:c r="D52" s="26" t="str">
        <x:v>I19</x:v>
      </x:c>
      <x:c r="E52" s="26" t="str">
        <x:v>بنچمارک مستقیم ایرانی در مجموعه احراز نشد</x:v>
      </x:c>
      <x:c r="F52" s="26" t="str">
        <x:v>بنچمارک مستقیم تثبیت نشده</x:v>
      </x:c>
      <x:c r="G52" s="26" t="str">
        <x:v>نیازمند استعلام هم‌دامنه</x:v>
      </x:c>
      <x:c r="H52" s="26" t="str">
        <x:v>GR006؛ Target؛ پایلوت سپس گسترش اعلام‌شده
GR031؛ Albert Heijn / Ahold Delhaize؛ استفاده سازمانی گزارش‌شده</x:v>
      </x:c>
      <x:c r="I52" s="26" t="str">
        <x:v>قیمت عمومی هم‌دامنه ثبت نشده</x:v>
      </x:c>
      <x:c r="J52" s="26" t="str">
        <x:v>دستورالعمل نسخه‌دار و پاسخ مستند برای یک نقش</x:v>
      </x:c>
      <x:c r="K52" s="26" t="str">
        <x:v>L3</x:v>
      </x:c>
      <x:c r="L52" s="50" t="n">
        <x:v>664</x:v>
      </x:c>
      <x:c r="M52" s="50" t="n">
        <x:v>1440</x:v>
      </x:c>
      <x:c r="N52" s="70" t="n">
        <x:f>IF(L52="","",L52*'مدل هزینه'!$B$6/1000000)</x:f>
        <x:v>398.4</x:v>
      </x:c>
      <x:c r="O52" s="70" t="n">
        <x:f>IF(M52="","",M52*'مدل هزینه'!$B$8/1000000)</x:f>
        <x:v>2160</x:v>
      </x:c>
      <x:c r="P52" s="26" t="str">
        <x:v>بی‌پاسخی و ارجاع در نبود سند؛ مجوز و اطلاعات فردی محدود</x:v>
      </x:c>
      <x:c r="Q52" s="26" t="str">
        <x:v>https://corporate.target.com/press/release/2024/06/target-to-roll-out-transformative-genai-technology-to-its-store-team-members-chainwide
https://corporate.target.com/about/purpose-history/history-timeline
https://aholddelhaize.com/digitalannualreport/2025/</x:v>
      </x:c>
    </x:row>
    <x:row r="53" ht="95" customHeight="1">
      <x:c r="A53" s="26" t="str">
        <x:v>BP049</x:v>
      </x:c>
      <x:c r="B53" s="26" t="str">
        <x:v>شیفت‌یار و ظرفیت خدمت</x:v>
      </x:c>
      <x:c r="C53" s="26" t="str">
        <x:v>کارکنان</x:v>
      </x:c>
      <x:c r="D53" s="26" t="str">
        <x:v>I20، HC03</x:v>
      </x:c>
      <x:c r="E53" s="26" t="str">
        <x:v>عرضه/نمونه مرتبط؛ استقرار فامیلی تأیید نشده</x:v>
      </x:c>
      <x:c r="F53" s="26" t="str">
        <x:v>اتنسی — تعرفه حضور و غیاب اتنسی</x:v>
      </x:c>
      <x:c r="G53" s="26" t="str">
        <x:v>PQ031؛ 35,000 تومان / نفر/ماه
PQ032؛ 100,000 تومان / نفر/ماه</x:v>
      </x:c>
      <x:c r="H53" s="26" t="str">
        <x:v>GR067؛ Gap / پژوهشگران؛ مطالعه میدانی تصادفی؛ مقاله داوری‌شده
Deputy — پلن‌های Deputy</x:v>
      </x:c>
      <x:c r="I53" s="26" t="str">
        <x:v>PQ050؛ 5 USD / کاربر/ماه
PQ051؛ 6.50 USD / کاربر/ماه
PQ052؛ 9 USD / کاربر/ماه</x:v>
      </x:c>
      <x:c r="J53" s="26" t="str">
        <x:v>یک شعبه، قواعد معتبر، ترجیحات و تأیید سرشیفت</x:v>
      </x:c>
      <x:c r="K53" s="26" t="str">
        <x:v>L3</x:v>
      </x:c>
      <x:c r="L53" s="50" t="n">
        <x:v>664</x:v>
      </x:c>
      <x:c r="M53" s="50" t="n">
        <x:v>1440</x:v>
      </x:c>
      <x:c r="N53" s="70" t="n">
        <x:f>IF(L53="","",L53*'مدل هزینه'!$B$6/1000000)</x:f>
        <x:v>398.4</x:v>
      </x:c>
      <x:c r="O53" s="70" t="n">
        <x:f>IF(M53="","",M53*'مدل هزینه'!$B$8/1000000)</x:f>
        <x:v>2160</x:v>
      </x:c>
      <x:c r="P53" s="26" t="str">
        <x:v>حضورغیاب معادل بهینه‌سازی منصفانه نیست؛ پایش پنهان پیشنهاد نمی‌شود</x:v>
      </x:c>
      <x:c r="Q53" s="26" t="str">
        <x:v>https://atency.com/
https://pubsonline.informs.org/doi/10.1287/mnsc.2021.4291
https://www.deputy.com/pricing</x:v>
      </x:c>
    </x:row>
    <x:row r="54" ht="95" customHeight="1">
      <x:c r="A54" s="26" t="str">
        <x:v>BP050</x:v>
      </x:c>
      <x:c r="B54" s="26" t="str">
        <x:v>سبد سازمانی و سفارش دوره‌ای</x:v>
      </x:c>
      <x:c r="C54" s="26" t="str">
        <x:v>کسب‌وکار</x:v>
      </x:c>
      <x:c r="D54" s="26" t="str">
        <x:v>I21</x:v>
      </x:c>
      <x:c r="E54" s="26" t="str">
        <x:v>مؤلفه یا نمونه همجوار؛ تطابق کامل احراز نشده</x:v>
      </x:c>
      <x:c r="F54" s="26" t="str">
        <x:v>آرین سیستم — راهکار ERP آرین سیستم
حسابفا — تعرفه حسابفا</x:v>
      </x:c>
      <x:c r="G54" s="26" t="str">
        <x:v>PQ035؛ 590,000 تومان / پلن</x:v>
      </x:c>
      <x:c r="H54" s="26" t="str">
        <x:v>GR051؛ OXXO / Conekta؛ خدمت تاریخی راه‌اندازی‌شده</x:v>
      </x:c>
      <x:c r="I54" s="26" t="str">
        <x:v>قیمت عمومی هم‌دامنه ثبت نشده</x:v>
      </x:c>
      <x:c r="J54" s="26" t="str">
        <x:v>دو مشتری آزمایشی با شرایط قرارداد و تسویه</x:v>
      </x:c>
      <x:c r="K54" s="26" t="str">
        <x:v>L3</x:v>
      </x:c>
      <x:c r="L54" s="50" t="n">
        <x:v>664</x:v>
      </x:c>
      <x:c r="M54" s="50" t="n">
        <x:v>1440</x:v>
      </x:c>
      <x:c r="N54" s="70" t="n">
        <x:f>IF(L54="","",L54*'مدل هزینه'!$B$6/1000000)</x:f>
        <x:v>398.4</x:v>
      </x:c>
      <x:c r="O54" s="70" t="n">
        <x:f>IF(M54="","",M54*'مدل هزینه'!$B$8/1000000)</x:f>
        <x:v>2160</x:v>
      </x:c>
      <x:c r="P54" s="26" t="str">
        <x:v>اعتباردهی، تعهد تحویل و هزینه وصول جدا محاسبه شوند</x:v>
      </x:c>
      <x:c r="Q54" s="26" t="str">
        <x:v>https://www.ariansystem.net/erp/
https://www.hesabfa.com/prices
https://www.femsa.com/en/press-room/press-release/oxxo-pay-new-digital-payment-solution-for-retailers/</x:v>
      </x:c>
    </x:row>
    <x:row r="55" ht="95" customHeight="1">
      <x:c r="A55" s="26" t="str">
        <x:v>BP051</x:v>
      </x:c>
      <x:c r="B55" s="26" t="str">
        <x:v>دید مجاز تأمین‌کننده و اجرای قفسه</x:v>
      </x:c>
      <x:c r="C55" s="26" t="str">
        <x:v>کسب‌وکار</x:v>
      </x:c>
      <x:c r="D55" s="26" t="str">
        <x:v>I23، HC07</x:v>
      </x:c>
      <x:c r="E55" s="26" t="str">
        <x:v>مؤلفه یا نمونه همجوار؛ تطابق کامل احراز نشده</x:v>
      </x:c>
      <x:c r="F55" s="26" t="str">
        <x:v>آرین سیستم — راهکار ERP آرین سیستم</x:v>
      </x:c>
      <x:c r="G55" s="26" t="str">
        <x:v>نیازمند استعلام هم‌دامنه</x:v>
      </x:c>
      <x:c r="H55" s="26" t="str">
        <x:v>GR048؛ Cencosud Media؛ آغاز فعالیت و حضور منطقه‌ای اعلام‌شده
GR066؛ Smollan؛ خدمت تجاری معرفی‌شده</x:v>
      </x:c>
      <x:c r="I55" s="26" t="str">
        <x:v>قیمت عمومی هم‌دامنه ثبت نشده</x:v>
      </x:c>
      <x:c r="J55" s="26" t="str">
        <x:v>یک شریک و داده تجمیعی درباره کالای خودش</x:v>
      </x:c>
      <x:c r="K55" s="26" t="str">
        <x:v>L3</x:v>
      </x:c>
      <x:c r="L55" s="50" t="n">
        <x:v>664</x:v>
      </x:c>
      <x:c r="M55" s="50" t="n">
        <x:v>1440</x:v>
      </x:c>
      <x:c r="N55" s="70" t="n">
        <x:f>IF(L55="","",L55*'مدل هزینه'!$B$6/1000000)</x:f>
        <x:v>398.4</x:v>
      </x:c>
      <x:c r="O55" s="70" t="n">
        <x:f>IF(M55="","",M55*'مدل هزینه'!$B$8/1000000)</x:f>
        <x:v>2160</x:v>
      </x:c>
      <x:c r="P55" s="26" t="str">
        <x:v>داده رقیب یا شخصی فروخته نشود؛ قرارداد و اثبات اجرا</x:v>
      </x:c>
      <x:c r="Q55" s="26" t="str">
        <x:v>https://www.ariansystem.net/erp/
https://www.cencosud.com/en/centro-de-medios/cencosud-media-en-brasil
https://smollan.com/what-we-do/activation-experience/experiential</x:v>
      </x:c>
    </x:row>
    <x:row r="56" ht="95" customHeight="1">
      <x:c r="A56" s="26" t="str">
        <x:v>BP052</x:v>
      </x:c>
      <x:c r="B56" s="26" t="str">
        <x:v>فامیلی۲۴ و نقطه فروش کوچک</x:v>
      </x:c>
      <x:c r="C56" s="26" t="str">
        <x:v>کسب‌وکار</x:v>
      </x:c>
      <x:c r="D56" s="26" t="str">
        <x:v>I24</x:v>
      </x:c>
      <x:c r="E56" s="26" t="str">
        <x:v>مؤلفه یا نمونه همجوار؛ تطابق کامل احراز نشده</x:v>
      </x:c>
      <x:c r="F56" s="26" t="str">
        <x:v>GR060؛ سیوان C1؛ محصول عرضه‌شده
پایاپارس — کاتالوگ پایاپارس؛ صفحه سوم</x:v>
      </x:c>
      <x:c r="G56" s="26" t="str">
        <x:v>PQ014؛ 460,000,000 تومان / دستگاه
PQ015؛ 560,000,000 تومان / دستگاه
PQ016؛ 340,000,000 تومان / دستگاه</x:v>
      </x:c>
      <x:c r="H56" s="26" t="str">
        <x:v>GR052؛ Carrefour / Zaitt؛ نمونه تاریخی معرفی‌شده</x:v>
      </x:c>
      <x:c r="I56" s="26" t="str">
        <x:v>قیمت عمومی هم‌دامنه ثبت نشده</x:v>
      </x:c>
      <x:c r="J56" s="26" t="str">
        <x:v>یک محل دارای تقاضا و فرایند شارژ/رسیدگی</x:v>
      </x:c>
      <x:c r="K56" s="26" t="str">
        <x:v>L3</x:v>
      </x:c>
      <x:c r="L56" s="50" t="n">
        <x:v>664</x:v>
      </x:c>
      <x:c r="M56" s="50" t="n">
        <x:v>1440</x:v>
      </x:c>
      <x:c r="N56" s="70" t="n">
        <x:f>IF(L56="","",L56*'مدل هزینه'!$B$6/1000000)</x:f>
        <x:v>398.4</x:v>
      </x:c>
      <x:c r="O56" s="70" t="n">
        <x:f>IF(M56="","",M56*'مدل هزینه'!$B$8/1000000)</x:f>
        <x:v>2160</x:v>
      </x:c>
      <x:c r="P56" s="26" t="str">
        <x:v>ونـدینگ کوچک با فروشگاه بی‌صندوق پیچیده هم‌رده نیست</x:v>
      </x:c>
      <x:c r="Q56" s="26" t="str">
        <x:v>https://c1vending.ir/
https://payapars.com/shop/page/3/
https://www.carrefour.com/en/news/carrefour-partner-first-100-autonomous-market-latin-america</x:v>
      </x:c>
    </x:row>
    <x:row r="57" ht="95" customHeight="1">
      <x:c r="A57" s="26" t="str">
        <x:v>BP053</x:v>
      </x:c>
      <x:c r="B57" s="26" t="str">
        <x:v>مدیر دیجیتال شعبه و فهرست کار</x:v>
      </x:c>
      <x:c r="C57" s="26" t="str">
        <x:v>مدیریت</x:v>
      </x:c>
      <x:c r="D57" s="26" t="str">
        <x:v>I25، HC01</x:v>
      </x:c>
      <x:c r="E57" s="26" t="str">
        <x:v>مؤلفه یا نمونه همجوار؛ تطابق کامل احراز نشده</x:v>
      </x:c>
      <x:c r="F57" s="26" t="str">
        <x:v>آرین سیستم — راهکار ERP آرین سیستم</x:v>
      </x:c>
      <x:c r="G57" s="26" t="str">
        <x:v>نیازمند استعلام هم‌دامنه</x:v>
      </x:c>
      <x:c r="H57" s="26" t="str">
        <x:v>GR002؛ Walmart؛ استفاده اولیه و توسعه اعلام‌شده
Microsoft — تعرفه Power BI</x:v>
      </x:c>
      <x:c r="I57" s="26" t="str">
        <x:v>PQ053؛ 14 USD / کاربر/ماه
PQ054؛ 24 USD / کاربر/ماه</x:v>
      </x:c>
      <x:c r="J57" s="26" t="str">
        <x:v>پنج KPI و سه نوع کار با مالک و نتیجه</x:v>
      </x:c>
      <x:c r="K57" s="26" t="str">
        <x:v>L3</x:v>
      </x:c>
      <x:c r="L57" s="50" t="n">
        <x:v>664</x:v>
      </x:c>
      <x:c r="M57" s="50" t="n">
        <x:v>1440</x:v>
      </x:c>
      <x:c r="N57" s="70" t="n">
        <x:f>IF(L57="","",L57*'مدل هزینه'!$B$6/1000000)</x:f>
        <x:v>398.4</x:v>
      </x:c>
      <x:c r="O57" s="70" t="n">
        <x:f>IF(M57="","",M57*'مدل هزینه'!$B$8/1000000)</x:f>
        <x:v>2160</x:v>
      </x:c>
      <x:c r="P57" s="26" t="str">
        <x:v>داشبورد باید به اقدام متصل باشد؛ مجوزBI قیمت پروژه نیست</x:v>
      </x:c>
      <x:c r="Q57" s="26" t="str">
        <x:v>https://www.ariansystem.net/erp/
https://corporate.walmart.com/news/2025/06/24/walmart-unveils-new-ai-powered-tools-to-empower-1-5-million-associates
https://www.microsoft.com/en-us/power-platform/products/power-bi/pricing</x:v>
      </x:c>
    </x:row>
    <x:row r="58" ht="95" customHeight="1">
      <x:c r="A58" s="26" t="str">
        <x:v>BP054</x:v>
      </x:c>
      <x:c r="B58" s="26" t="str">
        <x:v>رسیدگی‌سنج میوه</x:v>
      </x:c>
      <x:c r="C58" s="26" t="str">
        <x:v>تجهیزات فروشگاهی</x:v>
      </x:c>
      <x:c r="D58" s="26" t="str">
        <x:v>I28</x:v>
      </x:c>
      <x:c r="E58" s="26" t="str">
        <x:v>بنچمارک مستقیم ایرانی در مجموعه احراز نشد</x:v>
      </x:c>
      <x:c r="F58" s="26" t="str">
        <x:v>بنچمارک مستقیم تثبیت نشده</x:v>
      </x:c>
      <x:c r="G58" s="26" t="str">
        <x:v>نیازمند استعلام هم‌دامنه</x:v>
      </x:c>
      <x:c r="H58" s="26" t="str">
        <x:v>GR036؛ Tesco / OneThird؛ پایلوت پنج فروشگاه</x:v>
      </x:c>
      <x:c r="I58" s="26" t="str">
        <x:v>قیمت عمومی هم‌دامنه ثبت نشده</x:v>
      </x:c>
      <x:c r="J58" s="26" t="str">
        <x:v>یک میوه و یک روش کالیبراسیون/راهنمای خرید</x:v>
      </x:c>
      <x:c r="K58" s="26" t="str">
        <x:v>نامربوط/نامشخص</x:v>
      </x:c>
      <x:c r="L58" s="50"/>
      <x:c r="M58" s="50"/>
      <x:c r="N58" s="70" t="str">
        <x:f>IF(L58="","",L58*'مدل هزینه'!$B$6/1000000)</x:f>
      </x:c>
      <x:c r="O58" s="70" t="str">
        <x:f>IF(M58="","",M58*'مدل هزینه'!$B$8/1000000)</x:f>
      </x:c>
      <x:c r="P58" s="26" t="str">
        <x:v>رسیدگی با سلامت میکروبی یا گواهی ایمنی متفاوت است</x:v>
      </x:c>
      <x:c r="Q58" s="26" t="str">
        <x:v>https://www.tescoplc.com/ground-breaking-avocado-ripeness-scanner-to-be-trialled-by-tesco/</x:v>
      </x:c>
    </x:row>
    <x:row r="59" ht="95" customHeight="1">
      <x:c r="A59" s="26" t="str">
        <x:v>BP055</x:v>
      </x:c>
      <x:c r="B59" s="26" t="str">
        <x:v>انبارک متصل و مسیر برداشت</x:v>
      </x:c>
      <x:c r="C59" s="26" t="str">
        <x:v>عملیات</x:v>
      </x:c>
      <x:c r="D59" s="26" t="str">
        <x:v>I29</x:v>
      </x:c>
      <x:c r="E59" s="26" t="str">
        <x:v>مؤلفه یا نمونه همجوار؛ تطابق کامل احراز نشده</x:v>
      </x:c>
      <x:c r="F59" s="26" t="str">
        <x:v>GR059؛ تدبیر داده آویژه؛ محصول عرضه‌شده
آرین سیستم — راهکار ERP آرین سیستم</x:v>
      </x:c>
      <x:c r="G59" s="26" t="str">
        <x:v>نیازمند استعلام هم‌دامنه</x:v>
      </x:c>
      <x:c r="H59" s="26" t="str">
        <x:v>GR049؛ Falabella Retail؛ پیاده‌سازی گزارش‌شده</x:v>
      </x:c>
      <x:c r="I59" s="26" t="str">
        <x:v>قیمت عمومی هم‌دامنه ثبت نشده</x:v>
      </x:c>
      <x:c r="J59" s="26" t="str">
        <x:v>یک انبارک، بارکد مکان و گردش دریافت/برداشت</x:v>
      </x:c>
      <x:c r="K59" s="26" t="str">
        <x:v>L3</x:v>
      </x:c>
      <x:c r="L59" s="50" t="n">
        <x:v>664</x:v>
      </x:c>
      <x:c r="M59" s="50" t="n">
        <x:v>1440</x:v>
      </x:c>
      <x:c r="N59" s="70" t="n">
        <x:f>IF(L59="","",L59*'مدل هزینه'!$B$6/1000000)</x:f>
        <x:v>398.4</x:v>
      </x:c>
      <x:c r="O59" s="70" t="n">
        <x:f>IF(M59="","",M59*'مدل هزینه'!$B$8/1000000)</x:f>
        <x:v>2160</x:v>
      </x:c>
      <x:c r="P59" s="26" t="str">
        <x:v>RFID جای دقت کالا و مکان را نمی‌گیرد؛ مسیر دستی پشتیبان لازم است</x:v>
      </x:c>
      <x:c r="Q59" s="26" t="str">
        <x:v>https://avizhegroup.com/
https://www.ariansystem.net/erp/
https://falabellaretail.falabella.com/noticias/implementamos-sistema-de-radio-frecuencia-para-mejorar-el-control-de-inventario/</x:v>
      </x:c>
    </x:row>
    <x:row r="60" ht="95" customHeight="1">
      <x:c r="A60" s="26" t="str">
        <x:v>BP056</x:v>
      </x:c>
      <x:c r="B60" s="26" t="str">
        <x:v>شبیه‌ساز چیدمان و ظرفیت شعبه</x:v>
      </x:c>
      <x:c r="C60" s="26" t="str">
        <x:v>مدیریت</x:v>
      </x:c>
      <x:c r="D60" s="26" t="str">
        <x:v>I30، HC10</x:v>
      </x:c>
      <x:c r="E60" s="26" t="str">
        <x:v>بنچمارک مستقیم ایرانی در مجموعه احراز نشد</x:v>
      </x:c>
      <x:c r="F60" s="26" t="str">
        <x:v>بنچمارک مستقیم تثبیت نشده</x:v>
      </x:c>
      <x:c r="G60" s="26" t="str">
        <x:v>نیازمند استعلام هم‌دامنه</x:v>
      </x:c>
      <x:c r="H60" s="26" t="str">
        <x:v>GR069؛ MarketGen؛ پیش‌چاپ و نمونه پژوهشی
GR070؛ RetailBench؛ پیش‌چاپ و بنچمارک
GR071؛ Sari Sandbox؛ پیش‌چاپ و محیط پژوهشی
GR072؛ Horikomi / Mizuno؛ مقاله داوری‌شده</x:v>
      </x:c>
      <x:c r="I60" s="26" t="str">
        <x:v>قیمت عمومی هم‌دامنه ثبت نشده</x:v>
      </x:c>
      <x:c r="J60" s="26" t="str">
        <x:v>یک سؤال تصمیم با داده جریان و اعتبارسنجی مستقل</x:v>
      </x:c>
      <x:c r="K60" s="26" t="str">
        <x:v>L3</x:v>
      </x:c>
      <x:c r="L60" s="50" t="n">
        <x:v>664</x:v>
      </x:c>
      <x:c r="M60" s="50" t="n">
        <x:v>1440</x:v>
      </x:c>
      <x:c r="N60" s="70" t="n">
        <x:f>IF(L60="","",L60*'مدل هزینه'!$B$6/1000000)</x:f>
        <x:v>398.4</x:v>
      </x:c>
      <x:c r="O60" s="70" t="n">
        <x:f>IF(M60="","",M60*'مدل هزینه'!$B$8/1000000)</x:f>
        <x:v>2160</x:v>
      </x:c>
      <x:c r="P60" s="26" t="str">
        <x:v>شبیه‌سازی مدرک موفقیت در محیط واقعی نیست؛ آموزش عامل جداست</x:v>
      </x:c>
      <x:c r="Q60" s="26" t="str">
        <x:v>https://arxiv.org/abs/2511.21161
https://arxiv.org/abs/2603.16453
https://arxiv.org/abs/2508.00400
https://www.nature.com/articles/s41598-025-22885-4</x:v>
      </x:c>
    </x:row>
    <x:row r="61" ht="95" customHeight="1">
      <x:c r="A61" s="26" t="str">
        <x:v>BP057</x:v>
      </x:c>
      <x:c r="B61" s="26" t="str">
        <x:v>خدمات و درخواست‌های کارکنان</x:v>
      </x:c>
      <x:c r="C61" s="26" t="str">
        <x:v>کارکنان</x:v>
      </x:c>
      <x:c r="D61" s="26" t="str">
        <x:v>HR01</x:v>
      </x:c>
      <x:c r="E61" s="26" t="str">
        <x:v>مؤلفه یا نمونه همجوار؛ تطابق کامل احراز نشده</x:v>
      </x:c>
      <x:c r="F61" s="26" t="str">
        <x:v>اتنسی — تعرفه حضور و غیاب اتنسی</x:v>
      </x:c>
      <x:c r="G61" s="26" t="str">
        <x:v>PQ031؛ 35,000 تومان / نفر/ماه</x:v>
      </x:c>
      <x:c r="H61" s="26" t="str">
        <x:v>Deputy — پلن‌های Deputy
Chatwoot — تعرفه Cloud Chatwoot</x:v>
      </x:c>
      <x:c r="I61" s="26" t="str">
        <x:v>PQ050؛ 5 USD / کاربر/ماه
PQ058؛ 19 USD / اپراتور/ماه</x:v>
      </x:c>
      <x:c r="J61" s="26" t="str">
        <x:v>یک گردش درخواست با اختیار و ردپای وضعیت</x:v>
      </x:c>
      <x:c r="K61" s="26" t="str">
        <x:v>L2</x:v>
      </x:c>
      <x:c r="L61" s="50" t="n">
        <x:v>400</x:v>
      </x:c>
      <x:c r="M61" s="50" t="n">
        <x:v>800</x:v>
      </x:c>
      <x:c r="N61" s="70" t="n">
        <x:f>IF(L61="","",L61*'مدل هزینه'!$B$6/1000000)</x:f>
        <x:v>240</x:v>
      </x:c>
      <x:c r="O61" s="70" t="n">
        <x:f>IF(M61="","",M61*'مدل هزینه'!$B$8/1000000)</x:f>
        <x:v>1200</x:v>
      </x:c>
      <x:c r="P61" s="26" t="str">
        <x:v>مقایسه با سامانه موجود؛ سامانه موازی ساخته نشود</x:v>
      </x:c>
      <x:c r="Q61" s="26" t="str">
        <x:v>https://atency.com/
https://www.deputy.com/pricing
https://www.chatwoot.com/pricing</x:v>
      </x:c>
    </x:row>
    <x:row r="62" ht="95" customHeight="1">
      <x:c r="A62" s="26" t="str">
        <x:v>BP058</x:v>
      </x:c>
      <x:c r="B62" s="26" t="str">
        <x:v>آموزش و ورود نقش‌محور</x:v>
      </x:c>
      <x:c r="C62" s="26" t="str">
        <x:v>کارکنان</x:v>
      </x:c>
      <x:c r="D62" s="26" t="str">
        <x:v>HR02</x:v>
      </x:c>
      <x:c r="E62" s="26" t="str">
        <x:v>مؤلفه یا نمونه همجوار؛ تطابق کامل احراز نشده</x:v>
      </x:c>
      <x:c r="F62" s="26" t="str">
        <x:v>اتنسی — تعرفه حضور و غیاب اتنسی</x:v>
      </x:c>
      <x:c r="G62" s="26" t="str">
        <x:v>نیازمند استعلام هم‌دامنه</x:v>
      </x:c>
      <x:c r="H62" s="26" t="str">
        <x:v>GR003؛ Walmart؛ قابلیت معرفی‌شده
TalentLMS — تعرفه TalentLMS</x:v>
      </x:c>
      <x:c r="I62" s="26" t="str">
        <x:v>PQ061؛ 119 USD / پلن/ماه</x:v>
      </x:c>
      <x:c r="J62" s="26" t="str">
        <x:v>یک نقش و چند درس مصوب با مربی و سنجش آمادگی</x:v>
      </x:c>
      <x:c r="K62" s="26" t="str">
        <x:v>L2</x:v>
      </x:c>
      <x:c r="L62" s="50" t="n">
        <x:v>400</x:v>
      </x:c>
      <x:c r="M62" s="50" t="n">
        <x:v>800</x:v>
      </x:c>
      <x:c r="N62" s="70" t="n">
        <x:f>IF(L62="","",L62*'مدل هزینه'!$B$6/1000000)</x:f>
        <x:v>240</x:v>
      </x:c>
      <x:c r="O62" s="70" t="n">
        <x:f>IF(M62="","",M62*'مدل هزینه'!$B$8/1000000)</x:f>
        <x:v>1200</x:v>
      </x:c>
      <x:c r="P62" s="26" t="str">
        <x:v>LMS محتوا و آموزش عملی را خودکار تأمین نمی‌کند</x:v>
      </x:c>
      <x:c r="Q62" s="26" t="str">
        <x:v>https://atency.com/
https://corporate.walmart.com/news/2025/06/24/walmart-unveils-new-ai-powered-tools-to-empower-1-5-million-associates
https://www.talentlms.com/prices</x:v>
      </x:c>
    </x:row>
    <x:row r="63" ht="95" customHeight="1">
      <x:c r="A63" s="26" t="str">
        <x:v>BP059</x:v>
      </x:c>
      <x:c r="B63" s="26" t="str">
        <x:v>مهارت و ظرفیت تجمیعی منابع انسانی</x:v>
      </x:c>
      <x:c r="C63" s="26" t="str">
        <x:v>کارکنان</x:v>
      </x:c>
      <x:c r="D63" s="26" t="str">
        <x:v>HR03، HC03</x:v>
      </x:c>
      <x:c r="E63" s="26" t="str">
        <x:v>مؤلفه یا نمونه همجوار؛ تطابق کامل احراز نشده</x:v>
      </x:c>
      <x:c r="F63" s="26" t="str">
        <x:v>اتنسی — تعرفه حضور و غیاب اتنسی</x:v>
      </x:c>
      <x:c r="G63" s="26" t="str">
        <x:v>نیازمند استعلام هم‌دامنه</x:v>
      </x:c>
      <x:c r="H63" s="26" t="str">
        <x:v>GR067؛ Gap / پژوهشگران؛ مطالعه میدانی تصادفی؛ مقاله داوری‌شده
Microsoft — تعرفه Power BI
Deputy — پلن‌های Deputy</x:v>
      </x:c>
      <x:c r="I63" s="26" t="str">
        <x:v>PQ053؛ 14 USD / کاربر/ماه
PQ052؛ 9 USD / کاربر/ماه</x:v>
      </x:c>
      <x:c r="J63" s="26" t="str">
        <x:v>نمای تجمیعی مهارت/بارکار با داده حداقلی</x:v>
      </x:c>
      <x:c r="K63" s="26" t="str">
        <x:v>L3</x:v>
      </x:c>
      <x:c r="L63" s="50" t="n">
        <x:v>664</x:v>
      </x:c>
      <x:c r="M63" s="50" t="n">
        <x:v>1440</x:v>
      </x:c>
      <x:c r="N63" s="70" t="n">
        <x:f>IF(L63="","",L63*'مدل هزینه'!$B$6/1000000)</x:f>
        <x:v>398.4</x:v>
      </x:c>
      <x:c r="O63" s="70" t="n">
        <x:f>IF(M63="","",M63*'مدل هزینه'!$B$8/1000000)</x:f>
        <x:v>2160</x:v>
      </x:c>
      <x:c r="P63" s="26" t="str">
        <x:v>مقایسه افراد بدون توجه به موقعیت و نقش گمراه‌کننده است</x:v>
      </x:c>
      <x:c r="Q63" s="26" t="str">
        <x:v>https://atency.com/
https://pubsonline.informs.org/doi/10.1287/mnsc.2021.4291
https://www.microsoft.com/en-us/power-platform/products/power-bi/pricing
https://www.deputy.com/pricing</x:v>
      </x:c>
    </x:row>
    <x:row r="64" ht="95" customHeight="1">
      <x:c r="A64" s="26" t="str">
        <x:v>BP060</x:v>
      </x:c>
      <x:c r="B64" s="26" t="str">
        <x:v>هماهنگی جذب و شروع به کار</x:v>
      </x:c>
      <x:c r="C64" s="26" t="str">
        <x:v>کارکنان</x:v>
      </x:c>
      <x:c r="D64" s="26" t="str">
        <x:v>HR04</x:v>
      </x:c>
      <x:c r="E64" s="26" t="str">
        <x:v>بنچمارک مستقیم ایرانی در مجموعه احراز نشد</x:v>
      </x:c>
      <x:c r="F64" s="26" t="str">
        <x:v>بنچمارک مستقیم تثبیت نشده</x:v>
      </x:c>
      <x:c r="G64" s="26" t="str">
        <x:v>نیازمند استعلام هم‌دامنه</x:v>
      </x:c>
      <x:c r="H64" s="26" t="str">
        <x:v>GR004؛ Walmart؛ پایلوت اعلام‌شده</x:v>
      </x:c>
      <x:c r="I64" s="26" t="str">
        <x:v>قیمت عمومی هم‌دامنه ثبت نشده</x:v>
      </x:c>
      <x:c r="J64" s="26" t="str">
        <x:v>زمان‌بندی، مدارک مجاز و چک‌لیست؛ تصمیم با مسئول انسانی</x:v>
      </x:c>
      <x:c r="K64" s="26" t="str">
        <x:v>L2</x:v>
      </x:c>
      <x:c r="L64" s="50" t="n">
        <x:v>400</x:v>
      </x:c>
      <x:c r="M64" s="50" t="n">
        <x:v>800</x:v>
      </x:c>
      <x:c r="N64" s="70" t="n">
        <x:f>IF(L64="","",L64*'مدل هزینه'!$B$6/1000000)</x:f>
        <x:v>240</x:v>
      </x:c>
      <x:c r="O64" s="70" t="n">
        <x:f>IF(M64="","",M64*'مدل هزینه'!$B$8/1000000)</x:f>
        <x:v>1200</x:v>
      </x:c>
      <x:c r="P64" s="26" t="str">
        <x:v>رتبه‌بندی حساس یا رد خودکار از چهره/صدا پیشنهاد نمی‌شود</x:v>
      </x:c>
      <x:c r="Q64" s="26" t="str">
        <x:v>https://corporate.walmart.com/news/2025/06/05/walmart-pilots-ai-interview-coach-and-accelerates-associate-to-technician-program-to-fuel-careers</x:v>
      </x:c>
    </x:row>
    <x:row r="65" ht="95" customHeight="1">
      <x:c r="A65" s="26" t="str">
        <x:v>BP061</x:v>
      </x:c>
      <x:c r="B65" s="26" t="str">
        <x:v>RFID برای شناسایی و شمارش</x:v>
      </x:c>
      <x:c r="C65" s="26" t="str">
        <x:v>انبار و تأمین</x:v>
      </x:c>
      <x:c r="D65" s="26" t="str">
        <x:v>I29</x:v>
      </x:c>
      <x:c r="E65" s="26" t="str">
        <x:v>عرضه/نمونه مرتبط؛ استقرار فامیلی تأیید نشده</x:v>
      </x:c>
      <x:c r="F65" s="26" t="str">
        <x:v>GR059؛ تدبیر داده آویژه؛ محصول عرضه‌شده</x:v>
      </x:c>
      <x:c r="G65" s="26" t="str">
        <x:v>نیازمند استعلام هم‌دامنه</x:v>
      </x:c>
      <x:c r="H65" s="26" t="str">
        <x:v>GR005؛ Walmart / Avery Dennison؛ توسعه و استقرار مرحله‌ای اعلام‌شده
GR049؛ Falabella Retail؛ پیاده‌سازی گزارش‌شده</x:v>
      </x:c>
      <x:c r="I65" s="26" t="str">
        <x:v>قیمت عمومی هم‌دامنه ثبت نشده</x:v>
      </x:c>
      <x:c r="J65" s="26" t="str">
        <x:v>یک دسته یا دارایی بسته با تگ/فرکانس و دروازه مناسب</x:v>
      </x:c>
      <x:c r="K65" s="26" t="str">
        <x:v>L3</x:v>
      </x:c>
      <x:c r="L65" s="50" t="n">
        <x:v>664</x:v>
      </x:c>
      <x:c r="M65" s="50" t="n">
        <x:v>1440</x:v>
      </x:c>
      <x:c r="N65" s="70" t="n">
        <x:f>IF(L65="","",L65*'مدل هزینه'!$B$6/1000000)</x:f>
        <x:v>398.4</x:v>
      </x:c>
      <x:c r="O65" s="70" t="n">
        <x:f>IF(M65="","",M65*'مدل هزینه'!$B$8/1000000)</x:f>
        <x:v>2160</x:v>
      </x:c>
      <x:c r="P65" s="26" t="str">
        <x:v>مایع و فلز، نوع تگ، برچسب‌گذاری و قرائت اضافی بررسی شود</x:v>
      </x:c>
      <x:c r="Q65" s="26" t="str">
        <x:v>https://avizhegroup.com/
https://corporate.walmart.com/news/2025/10/22/walmart-and-avery-dennison-collaborate-to-enhance-freshness-and-increase-operational-efficiency-using-rfid
https://falabellaretail.falabella.com/noticias/implementamos-sistema-de-radio-frecuencia-para-mejorar-el-control-de-inventario/</x:v>
      </x:c>
    </x:row>
    <x:row r="66" ht="95" customHeight="1">
      <x:c r="A66" s="26" t="str">
        <x:v>BP062</x:v>
      </x:c>
      <x:c r="B66" s="26" t="str">
        <x:v>برداشت هدایت‌شده نوری و صوتی</x:v>
      </x:c>
      <x:c r="C66" s="26" t="str">
        <x:v>انبار و تأمین</x:v>
      </x:c>
      <x:c r="D66" s="26" t="str">
        <x:v>I29</x:v>
      </x:c>
      <x:c r="E66" s="26" t="str">
        <x:v>مؤلفه یا نمونه همجوار؛ تطابق کامل احراز نشده</x:v>
      </x:c>
      <x:c r="F66" s="26" t="str">
        <x:v>GR059؛ تدبیر داده آویژه؛ محصول عرضه‌شده</x:v>
      </x:c>
      <x:c r="G66" s="26" t="str">
        <x:v>نیازمند استعلام هم‌دامنه</x:v>
      </x:c>
      <x:c r="H66" s="26" t="str">
        <x:v>GR001؛ Walmart؛ خدمت معرفی‌شده در بهره‌برداری</x:v>
      </x:c>
      <x:c r="I66" s="26" t="str">
        <x:v>قیمت عمومی هم‌دامنه ثبت نشده</x:v>
      </x:c>
      <x:c r="J66" s="26" t="str">
        <x:v>یک ایستگاه برداشت با تأیید کالا و مسیر برگشت خطا</x:v>
      </x:c>
      <x:c r="K66" s="26" t="str">
        <x:v>L3</x:v>
      </x:c>
      <x:c r="L66" s="50" t="n">
        <x:v>664</x:v>
      </x:c>
      <x:c r="M66" s="50" t="n">
        <x:v>1440</x:v>
      </x:c>
      <x:c r="N66" s="70" t="n">
        <x:f>IF(L66="","",L66*'مدل هزینه'!$B$6/1000000)</x:f>
        <x:v>398.4</x:v>
      </x:c>
      <x:c r="O66" s="70" t="n">
        <x:f>IF(M66="","",M66*'مدل هزینه'!$B$8/1000000)</x:f>
        <x:v>2160</x:v>
      </x:c>
      <x:c r="P66" s="26" t="str">
        <x:v>زبان فارسی و نویز، PTL و Voice دو جزء جدا هستند</x:v>
      </x:c>
      <x:c r="Q66" s="26" t="str">
        <x:v>https://avizhegroup.com/
https://corporate.walmart.com/news/2026/10/cant-find-it-walmart-can-light-the-way</x:v>
      </x:c>
    </x:row>
    <x:row r="67" ht="95" customHeight="1">
      <x:c r="A67" s="26" t="str">
        <x:v>BP063</x:v>
      </x:c>
      <x:c r="B67" s="26" t="str">
        <x:v>مسیریابی و ETA تحویل</x:v>
      </x:c>
      <x:c r="C67" s="26" t="str">
        <x:v>انبار و تأمین</x:v>
      </x:c>
      <x:c r="D67" s="26" t="str">
        <x:v>I07</x:v>
      </x:c>
      <x:c r="E67" s="26" t="str">
        <x:v>بنچمارک مستقیم ایرانی در مجموعه احراز نشد</x:v>
      </x:c>
      <x:c r="F67" s="26" t="str">
        <x:v>بنچمارک مستقیم تثبیت نشده</x:v>
      </x:c>
      <x:c r="G67" s="26" t="str">
        <x:v>نیازمند استعلام هم‌دامنه</x:v>
      </x:c>
      <x:c r="H67" s="26" t="str">
        <x:v>GR046؛ Loblaw / Gatik؛ تجربه پیشین و قرارداد توسعه</x:v>
      </x:c>
      <x:c r="I67" s="26" t="str">
        <x:v>قیمت عمومی هم‌دامنه ثبت نشده</x:v>
      </x:c>
      <x:c r="J67" s="26" t="str">
        <x:v>۱۰وسیله فرضی و پنجره زمانی و ظرفیت معلوم</x:v>
      </x:c>
      <x:c r="K67" s="26" t="str">
        <x:v>L3</x:v>
      </x:c>
      <x:c r="L67" s="50" t="n">
        <x:v>664</x:v>
      </x:c>
      <x:c r="M67" s="50" t="n">
        <x:v>1440</x:v>
      </x:c>
      <x:c r="N67" s="70" t="n">
        <x:f>IF(L67="","",L67*'مدل هزینه'!$B$6/1000000)</x:f>
        <x:v>398.4</x:v>
      </x:c>
      <x:c r="O67" s="70" t="n">
        <x:f>IF(M67="","",M67*'مدل هزینه'!$B$8/1000000)</x:f>
        <x:v>2160</x:v>
      </x:c>
      <x:c r="P67" s="26" t="str">
        <x:v>تابع هدف و قید ایمنی مشخص؛ نقشه خارجی معادل پوشش ایران نیست</x:v>
      </x:c>
      <x:c r="Q67" s="26" t="str">
        <x:v>https://www.loblaw.ca/en/gatik-and-loblaw-ink-5-year-expansion-deal-to-scale-ai-powered-autonomous-trucking-solution-across-regional-distribution-networks-in-the-greater-toronto-area/</x:v>
      </x:c>
    </x:row>
    <x:row r="68" ht="95" customHeight="1">
      <x:c r="A68" s="26" t="str">
        <x:v>BP064</x:v>
      </x:c>
      <x:c r="B68" s="26" t="str">
        <x:v>اتوماسیون منتخب انبار و ربات جابه‌جایی</x:v>
      </x:c>
      <x:c r="C68" s="26" t="str">
        <x:v>انبار و تأمین</x:v>
      </x:c>
      <x:c r="D68" s="26" t="str"/>
      <x:c r="E68" s="26" t="str">
        <x:v>مؤلفه یا نمونه همجوار؛ تطابق کامل احراز نشده</x:v>
      </x:c>
      <x:c r="F68" s="26" t="str">
        <x:v>GR059؛ تدبیر داده آویژه؛ محصول عرضه‌شده</x:v>
      </x:c>
      <x:c r="G68" s="26" t="str">
        <x:v>نیازمند استعلام هم‌دامنه</x:v>
      </x:c>
      <x:c r="H68" s="26" t="str">
        <x:v>GR021؛ Freshippo / Alibaba؛ مرکز افتتاح‌شده طبق شرکت
GR073؛ Kroger؛ بازنگری و تعطیلی بخشی از شبکه اعلام‌شده</x:v>
      </x:c>
      <x:c r="I68" s="26" t="str">
        <x:v>قیمت عمومی هم‌دامنه ثبت نشده</x:v>
      </x:c>
      <x:c r="J68" s="26" t="str">
        <x:v>مطالعه جریان و یک سلول گلوگاهی؛ نه انبار تمام‌خودکار</x:v>
      </x:c>
      <x:c r="K68" s="26" t="str">
        <x:v>L4</x:v>
      </x:c>
      <x:c r="L68" s="50" t="n">
        <x:v>1120</x:v>
      </x:c>
      <x:c r="M68" s="50" t="n">
        <x:v>2640</x:v>
      </x:c>
      <x:c r="N68" s="70" t="n">
        <x:f>IF(L68="","",L68*'مدل هزینه'!$B$6/1000000)</x:f>
        <x:v>672</x:v>
      </x:c>
      <x:c r="O68" s="70" t="n">
        <x:f>IF(M68="","",M68*'مدل هزینه'!$B$8/1000000)</x:f>
        <x:v>3960</x:v>
      </x:c>
      <x:c r="P68" s="26" t="str">
        <x:v>CAPEX و قطعه و چگالی سفارش؛ بدون تعداد/ظرفیت قیمت معتبر ندارد</x:v>
      </x:c>
      <x:c r="Q68" s="26" t="str">
        <x:v>https://avizhegroup.com/
https://www.alizila.com/freshippo-launches-fully-automated-supply-chain-center-in-shanghai/
https://ir.kroger.com/news/news-details/2025/Kroger-Evolves-eCommerce-Offerings-to-Improve-the-Customer-Experience-Drive-Profitable-Sales-Growth/default.aspx</x:v>
      </x:c>
    </x:row>
    <x:row r="69" ht="95" customHeight="1">
      <x:c r="A69" s="26" t="str">
        <x:v>BP065</x:v>
      </x:c>
      <x:c r="B69" s="26" t="str">
        <x:v>زیرساخت مشترک داده و کار در قطعی</x:v>
      </x:c>
      <x:c r="C69" s="26" t="str">
        <x:v>زیرساخت مشترک</x:v>
      </x:c>
      <x:c r="D69" s="26" t="str">
        <x:v>HC09</x:v>
      </x:c>
      <x:c r="E69" s="26" t="str">
        <x:v>مؤلفه یا نمونه همجوار؛ تطابق کامل احراز نشده</x:v>
      </x:c>
      <x:c r="F69" s="26" t="str">
        <x:v>آرین سیستم — راهکار ERP آرین سیستم</x:v>
      </x:c>
      <x:c r="G69" s="26" t="str">
        <x:v>نیازمند استعلام هم‌دامنه</x:v>
      </x:c>
      <x:c r="H69" s="26" t="str">
        <x:v>GR002؛ Walmart؛ استفاده اولیه و توسعه اعلام‌شده
Microsoft — تعرفه Power BI
Chatwoot — تعرفه Cloud Chatwoot</x:v>
      </x:c>
      <x:c r="I69" s="26" t="str">
        <x:v>PQ053؛ 14 USD / کاربر/ماه
PQ058؛ 19 USD / اپراتور/ماه</x:v>
      </x:c>
      <x:c r="J69" s="26" t="str">
        <x:v>کالا/مکان مشترک، دو اتصال، بافر محلی و کنترل دسترسی</x:v>
      </x:c>
      <x:c r="K69" s="26" t="str">
        <x:v>L4</x:v>
      </x:c>
      <x:c r="L69" s="50" t="n">
        <x:v>1120</x:v>
      </x:c>
      <x:c r="M69" s="50" t="n">
        <x:v>2640</x:v>
      </x:c>
      <x:c r="N69" s="70" t="n">
        <x:f>IF(L69="","",L69*'مدل هزینه'!$B$6/1000000)</x:f>
        <x:v>672</x:v>
      </x:c>
      <x:c r="O69" s="70" t="n">
        <x:f>IF(M69="","",M69*'مدل هزینه'!$B$8/1000000)</x:f>
        <x:v>3960</x:v>
      </x:c>
      <x:c r="P69" s="26" t="str">
        <x:v>برای هر طرح دوباره بودجه‌گذاری نشود؛ مجوز جدا از میزبانی است</x:v>
      </x:c>
      <x:c r="Q69" s="26" t="str">
        <x:v>https://www.ariansystem.net/erp/
https://corporate.walmart.com/news/2025/06/24/walmart-unveils-new-ai-powered-tools-to-empower-1-5-million-associates
https://www.microsoft.com/en-us/power-platform/products/power-bi/pricing
https://www.chatwoot.com/pricing</x:v>
      </x:c>
    </x:row>
    <x:row r="70" ht="95" customHeight="1">
      <x:c r="A70" s="26" t="str">
        <x:v>BP066</x:v>
      </x:c>
      <x:c r="B70" s="26" t="str">
        <x:v>وندینگ قهوه و نوشیدنی گرم</x:v>
      </x:c>
      <x:c r="C70" s="26" t="str">
        <x:v>وندینگ خوراکی</x:v>
      </x:c>
      <x:c r="D70" s="26" t="str">
        <x:v>VF01</x:v>
      </x:c>
      <x:c r="E70" s="26" t="str">
        <x:v>عرضه/نمونه مرتبط؛ استقرار فامیلی تأیید نشده</x:v>
      </x:c>
      <x:c r="F70" s="26" t="str">
        <x:v>پایاپارس — کاتالوگ پایاپارس؛ صفحه سوم
GR060؛ سیوان C1؛ محصول عرضه‌شده</x:v>
      </x:c>
      <x:c r="G70" s="26" t="str">
        <x:v>PQ009؛ 1,140,000,000 تومان / دستگاه
PQ010؛ 1,850,000,000 تومان / دستگاه
PQ011؛ 1,350,000,000 تومان / دستگاه</x:v>
      </x:c>
      <x:c r="H70" s="26" t="str">
        <x:v>VF-S02؛ Necta Barista 500؛ دستگاه وندینگ نوشیدنی
VF-S03؛ Co-op؛ شاهد تاریخی ارائه Costa Express در فروشگاه
VMFS USA — CorePro قهوه؛ قیمت و افزونه‌ها</x:v>
      </x:c>
      <x:c r="I70" s="26" t="str">
        <x:v>PQ038؛ 4,950 USD / دستگاه
PQ039؛ 450 USD / دستگاه</x:v>
      </x:c>
      <x:c r="J70" s="26" t="str">
        <x:v>یک دستگاه با منوی محدود، پرداخت و تحویل قابل‌پیگیری</x:v>
      </x:c>
      <x:c r="K70" s="26" t="str">
        <x:v>L2</x:v>
      </x:c>
      <x:c r="L70" s="50" t="n">
        <x:v>400</x:v>
      </x:c>
      <x:c r="M70" s="50" t="n">
        <x:v>800</x:v>
      </x:c>
      <x:c r="N70" s="70" t="n">
        <x:f>IF(L70="","",L70*'مدل هزینه'!$B$6/1000000)</x:f>
        <x:v>240</x:v>
      </x:c>
      <x:c r="O70" s="70" t="n">
        <x:f>IF(M70="","",M70*'مدل هزینه'!$B$8/1000000)</x:f>
        <x:v>1200</x:v>
      </x:c>
      <x:c r="P70" s="26" t="str">
        <x:v>۱۲۰ولت خارجی، کیفیت آب، لیوان، مصرفی و خدمت؛ دستگاه کافه‌ای با وندینگ فرق دارد</x:v>
      </x:c>
      <x:c r="Q70" s="26" t="str">
        <x:v>https://payapars.com/shop/page/3/
https://c1vending.ir/
https://necta.evocagroup.com/en/products/coffee-vending-machines/barista-500
https://www.co-operative.coop/media/news-releases/co-op-unveils-unmissable-gbp1-costa-coffee-deal-for-one-day-only
https://vmfsusa.com/products/corepro-coffee-vending-machine</x:v>
      </x:c>
    </x:row>
    <x:row r="71" ht="95" customHeight="1">
      <x:c r="A71" s="26" t="str">
        <x:v>BP067</x:v>
      </x:c>
      <x:c r="B71" s="26" t="str">
        <x:v>وندینگ پاپ‌کورن تازه</x:v>
      </x:c>
      <x:c r="C71" s="26" t="str">
        <x:v>وندینگ خوراکی</x:v>
      </x:c>
      <x:c r="D71" s="26" t="str">
        <x:v>VF02</x:v>
      </x:c>
      <x:c r="E71" s="26" t="str">
        <x:v>عرضه/نمونه مرتبط؛ استقرار فامیلی تأیید نشده</x:v>
      </x:c>
      <x:c r="F71" s="26" t="str">
        <x:v>پایاپارس — کاتالوگ پایاپارس؛ صفحه دوم
GR060؛ سیوان C1؛ محصول عرضه‌شده</x:v>
      </x:c>
      <x:c r="G71" s="26" t="str">
        <x:v>PQ001؛ 780,000,000 تومان / دستگاه
PQ002؛ 840,000,000 تومان / دستگاه</x:v>
      </x:c>
      <x:c r="H71" s="26" t="str">
        <x:v>VF-S04؛ Sweet Robo PopCart؛ تهیه پاپ‌کورن هنگام سفارش
VF-S05؛ Neumärker Self-Service Pop XL؛ توزیع سلف‌سرویس با الزام نظارت
Nova Vending — قیمت وندینگ پاپ‌کورن Nova
WebstaurantStore — پاپ‌کورن‌ساز اپراتوری Carnival King</x:v>
      </x:c>
      <x:c r="I71" s="26" t="str">
        <x:v>PQ042؛ 7,500 USD / دستگاه
PQ043؛ 184.99 USD / دستگاه</x:v>
      </x:c>
      <x:c r="J71" s="26" t="str">
        <x:v>یک دستگاه با نظافت، پرداخت و تحویل ثبت‌شده</x:v>
      </x:c>
      <x:c r="K71" s="26" t="str">
        <x:v>L2</x:v>
      </x:c>
      <x:c r="L71" s="50" t="n">
        <x:v>400</x:v>
      </x:c>
      <x:c r="M71" s="50" t="n">
        <x:v>800</x:v>
      </x:c>
      <x:c r="N71" s="70" t="n">
        <x:f>IF(L71="","",L71*'مدل هزینه'!$B$6/1000000)</x:f>
        <x:v>240</x:v>
      </x:c>
      <x:c r="O71" s="70" t="n">
        <x:f>IF(M71="","",M71*'مدل هزینه'!$B$8/1000000)</x:f>
        <x:v>1200</x:v>
      </x:c>
      <x:c r="P71" s="26" t="str">
        <x:v>پاپ‌کورن‌ساز اپراتوری ارزان هم‌رده وندینگ مستقل نیست</x:v>
      </x:c>
      <x:c r="Q71" s="26" t="str">
        <x:v>https://payapars.com/shop/page/2/
https://c1vending.ir/
https://sweetrobo.com/vending-machines/popcorn/
https://www.neumaerker.de/en/products/fun-food/popcorn-maker/1670/popcorn-maker-self-service-pop-xl-16-oz-popcorn-at-the-touch-of-a-button
https://novavendingmachine.com/products/new-2026-popcorn-vending-machine/
https://www.webstaurantstore.com/carnival-king-pm850-8-oz-popcorn-machine-popper-120v-850w/382PM850.html</x:v>
      </x:c>
    </x:row>
    <x:row r="72" ht="95" customHeight="1">
      <x:c r="A72" s="26" t="str">
        <x:v>BP068</x:v>
      </x:c>
      <x:c r="B72" s="26" t="str">
        <x:v>وندینگ تنقلات بسته‌ای</x:v>
      </x:c>
      <x:c r="C72" s="26" t="str">
        <x:v>وندینگ خوراکی</x:v>
      </x:c>
      <x:c r="D72" s="26" t="str">
        <x:v>VF03</x:v>
      </x:c>
      <x:c r="E72" s="26" t="str">
        <x:v>عرضه/نمونه مرتبط؛ استقرار فامیلی تأیید نشده</x:v>
      </x:c>
      <x:c r="F72" s="26" t="str">
        <x:v>پایاپارس — کاتالوگ پایاپارس؛ صفحه سوم
GR060؛ سیوان C1؛ محصول عرضه‌شده</x:v>
      </x:c>
      <x:c r="G72" s="26" t="str">
        <x:v>PQ014؛ 460,000,000 تومان / دستگاه
PQ015؛ 560,000,000 تومان / دستگاه
PQ008؛ 225,000,000 تومان / دستگاه</x:v>
      </x:c>
      <x:c r="H72" s="26" t="str">
        <x:v>VF-S06؛ Necta Gusto 6 M؛ فروش تنقلات و نوشیدنی بسته‌بندی‌شده</x:v>
      </x:c>
      <x:c r="I72" s="26" t="str">
        <x:v>قیمت عمومی هم‌دامنه ثبت نشده</x:v>
      </x:c>
      <x:c r="J72" s="26" t="str">
        <x:v>یک محل و ظرفیت کانال/محصول معلوم</x:v>
      </x:c>
      <x:c r="K72" s="26" t="str">
        <x:v>L2</x:v>
      </x:c>
      <x:c r="L72" s="50" t="n">
        <x:v>400</x:v>
      </x:c>
      <x:c r="M72" s="50" t="n">
        <x:v>800</x:v>
      </x:c>
      <x:c r="N72" s="70" t="n">
        <x:f>IF(L72="","",L72*'مدل هزینه'!$B$6/1000000)</x:f>
        <x:v>240</x:v>
      </x:c>
      <x:c r="O72" s="70" t="n">
        <x:f>IF(M72="","",M72*'مدل هزینه'!$B$8/1000000)</x:f>
        <x:v>1200</x:v>
      </x:c>
      <x:c r="P72" s="26" t="str">
        <x:v>دمای نگهداری، سایز بسته و گیرکردن قلم هزینه دارد</x:v>
      </x:c>
      <x:c r="Q72" s="26" t="str">
        <x:v>https://payapars.com/shop/page/3/
https://c1vending.ir/
https://necta.evocagroup.com/en/products/impulse-dispensers/gusto-6-m</x:v>
      </x:c>
    </x:row>
    <x:row r="73" ht="95" customHeight="1">
      <x:c r="A73" s="26" t="str">
        <x:v>BP069</x:v>
      </x:c>
      <x:c r="B73" s="26" t="str">
        <x:v>وندینگ آب‌پرتقال تازه</x:v>
      </x:c>
      <x:c r="C73" s="26" t="str">
        <x:v>وندینگ خوراکی</x:v>
      </x:c>
      <x:c r="D73" s="26" t="str">
        <x:v>VF04</x:v>
      </x:c>
      <x:c r="E73" s="26" t="str">
        <x:v>عرضه/نمونه مرتبط؛ استقرار فامیلی تأیید نشده</x:v>
      </x:c>
      <x:c r="F73" s="26" t="str">
        <x:v>پایاپارس — کاتالوگ پایاپارس؛ صفحه سوم</x:v>
      </x:c>
      <x:c r="G73" s="26" t="str">
        <x:v>PQ012؛ 4,800,000,000 تومان / دستگاه</x:v>
      </x:c>
      <x:c r="H73" s="26" t="str">
        <x:v>VF-S07؛ IJOOZ Smart Juicer؛ آب‌پرتقال و مدیریت شبکه وندینگ</x:v>
      </x:c>
      <x:c r="I73" s="26" t="str">
        <x:v>قیمت عمومی هم‌دامنه ثبت نشده</x:v>
      </x:c>
      <x:c r="J73" s="26" t="str">
        <x:v>یک واحد با تأمین میوه، نظافت، تفاله و رسیدگی</x:v>
      </x:c>
      <x:c r="K73" s="26" t="str">
        <x:v>L2</x:v>
      </x:c>
      <x:c r="L73" s="50" t="n">
        <x:v>400</x:v>
      </x:c>
      <x:c r="M73" s="50" t="n">
        <x:v>800</x:v>
      </x:c>
      <x:c r="N73" s="70" t="n">
        <x:f>IF(L73="","",L73*'مدل هزینه'!$B$6/1000000)</x:f>
        <x:v>240</x:v>
      </x:c>
      <x:c r="O73" s="70" t="n">
        <x:f>IF(M73="","",M73*'مدل هزینه'!$B$8/1000000)</x:f>
        <x:v>1200</x:v>
      </x:c>
      <x:c r="P73" s="26" t="str">
        <x:v>اسم سازنده یا ویدئو معادل تأیید کیفیت/موجودی محلی نیست</x:v>
      </x:c>
      <x:c r="Q73" s="26" t="str">
        <x:v>https://payapars.com/shop/page/3/
https://www.ijooz.com/smart-juicer</x:v>
      </x:c>
    </x:row>
    <x:row r="74" ht="95" customHeight="1">
      <x:c r="A74" s="26" t="str">
        <x:v>BP070</x:v>
      </x:c>
      <x:c r="B74" s="26" t="str">
        <x:v>اسموتی سلف‌سرویس</x:v>
      </x:c>
      <x:c r="C74" s="26" t="str">
        <x:v>وندینگ خوراکی</x:v>
      </x:c>
      <x:c r="D74" s="26" t="str">
        <x:v>VF05</x:v>
      </x:c>
      <x:c r="E74" s="26" t="str">
        <x:v>بنچمارک مستقیم ایرانی در مجموعه احراز نشد</x:v>
      </x:c>
      <x:c r="F74" s="26" t="str">
        <x:v>بنچمارک مستقیم تثبیت نشده</x:v>
      </x:c>
      <x:c r="G74" s="26" t="str">
        <x:v>نیازمند استعلام هم‌دامنه</x:v>
      </x:c>
      <x:c r="H74" s="26" t="str">
        <x:v>VF-S08؛ 7-Eleven ژاپن؛ مراحل خرید و تهیه اسموتی
VF-S14؛ Seven-Eleven؛ بازخورد مشتری درباره استفاده از اسموتی</x:v>
      </x:c>
      <x:c r="I74" s="26" t="str">
        <x:v>قیمت عمومی هم‌دامنه ثبت نشده</x:v>
      </x:c>
      <x:c r="J74" s="26" t="str">
        <x:v>یک دستگاه مخلوط‌کردن با ظرف محصول تأییدشده</x:v>
      </x:c>
      <x:c r="K74" s="26" t="str">
        <x:v>L2</x:v>
      </x:c>
      <x:c r="L74" s="50" t="n">
        <x:v>400</x:v>
      </x:c>
      <x:c r="M74" s="50" t="n">
        <x:v>800</x:v>
      </x:c>
      <x:c r="N74" s="70" t="n">
        <x:f>IF(L74="","",L74*'مدل هزینه'!$B$6/1000000)</x:f>
        <x:v>240</x:v>
      </x:c>
      <x:c r="O74" s="70" t="n">
        <x:f>IF(M74="","",M74*'مدل هزینه'!$B$8/1000000)</x:f>
        <x:v>1200</x:v>
      </x:c>
      <x:c r="P74" s="26" t="str">
        <x:v>خرید ظرف منجمد و مخلوط‌کردن با وندینگ کامل برابر نیست</x:v>
      </x:c>
      <x:c r="Q74" s="26" t="str">
        <x:v>https://www.sej.co.jp/products/smoothie/
https://sustainability.sej.co.jp/action/000164/</x:v>
      </x:c>
    </x:row>
    <x:row r="75" ht="95" customHeight="1">
      <x:c r="A75" s="26" t="str">
        <x:v>BP071</x:v>
      </x:c>
      <x:c r="B75" s="26" t="str">
        <x:v>بستنی نرم خودکار</x:v>
      </x:c>
      <x:c r="C75" s="26" t="str">
        <x:v>وندینگ خوراکی</x:v>
      </x:c>
      <x:c r="D75" s="26" t="str">
        <x:v>VF06</x:v>
      </x:c>
      <x:c r="E75" s="26" t="str">
        <x:v>مؤلفه یا نمونه همجوار؛ تطابق کامل احراز نشده</x:v>
      </x:c>
      <x:c r="F75" s="26" t="str">
        <x:v>پایاپارس — کاتالوگ پایاپارس؛ صفحه سوم
GR060؛ سیوان C1؛ محصول عرضه‌شده</x:v>
      </x:c>
      <x:c r="G75" s="26" t="str">
        <x:v>نیازمند استعلام هم‌دامنه</x:v>
      </x:c>
      <x:c r="H75" s="26" t="str">
        <x:v>VF-S09؛ Sweet Robo Robo Ice Cream؛ بستنی نرم خودکار</x:v>
      </x:c>
      <x:c r="I75" s="26" t="str">
        <x:v>قیمت عمومی هم‌دامنه ثبت نشده</x:v>
      </x:c>
      <x:c r="J75" s="26" t="str">
        <x:v>یک دستگاه و منوی معتبر با مسئول کیفیت</x:v>
      </x:c>
      <x:c r="K75" s="26" t="str">
        <x:v>L2</x:v>
      </x:c>
      <x:c r="L75" s="50" t="n">
        <x:v>400</x:v>
      </x:c>
      <x:c r="M75" s="50" t="n">
        <x:v>800</x:v>
      </x:c>
      <x:c r="N75" s="70" t="n">
        <x:f>IF(L75="","",L75*'مدل هزینه'!$B$6/1000000)</x:f>
        <x:v>240</x:v>
      </x:c>
      <x:c r="O75" s="70" t="n">
        <x:f>IF(M75="","",M75*'مدل هزینه'!$B$8/1000000)</x:f>
        <x:v>1200</x:v>
      </x:c>
      <x:c r="P75" s="26" t="str">
        <x:v>قیمت مدل برفی به بستنی نرم تعمیم داده نشود؛ ماده و نظافت تخصصی</x:v>
      </x:c>
      <x:c r="Q75" s="26" t="str">
        <x:v>https://payapars.com/shop/page/3/
https://c1vending.ir/
https://sweetrobo.com/ice-cream-vending-machine/</x:v>
      </x:c>
    </x:row>
    <x:row r="76" ht="95" customHeight="1">
      <x:c r="A76" s="26" t="str">
        <x:v>BP072</x:v>
      </x:c>
      <x:c r="B76" s="26" t="str">
        <x:v>وندینگ پشمک</x:v>
      </x:c>
      <x:c r="C76" s="26" t="str">
        <x:v>وندینگ خوراکی</x:v>
      </x:c>
      <x:c r="D76" s="26" t="str">
        <x:v>VF07</x:v>
      </x:c>
      <x:c r="E76" s="26" t="str">
        <x:v>عرضه/نمونه مرتبط؛ استقرار فامیلی تأیید نشده</x:v>
      </x:c>
      <x:c r="F76" s="26" t="str">
        <x:v>پایاپارس — کاتالوگ پایاپارس؛ صفحه دوم</x:v>
      </x:c>
      <x:c r="G76" s="26" t="str">
        <x:v>PQ003؛ 1,480,000,000 تومان / دستگاه</x:v>
      </x:c>
      <x:c r="H76" s="26" t="str">
        <x:v>VF-S10؛ Sweet Robo Cotton Candy Robot؛ پشمک سفارشی</x:v>
      </x:c>
      <x:c r="I76" s="26" t="str">
        <x:v>قیمت عمومی هم‌دامنه ثبت نشده</x:v>
      </x:c>
      <x:c r="J76" s="26" t="str">
        <x:v>یک خدمت اختیاری با مدل خودکار مشخص</x:v>
      </x:c>
      <x:c r="K76" s="26" t="str">
        <x:v>L2</x:v>
      </x:c>
      <x:c r="L76" s="50" t="n">
        <x:v>400</x:v>
      </x:c>
      <x:c r="M76" s="50" t="n">
        <x:v>800</x:v>
      </x:c>
      <x:c r="N76" s="70" t="n">
        <x:f>IF(L76="","",L76*'مدل هزینه'!$B$6/1000000)</x:f>
        <x:v>240</x:v>
      </x:c>
      <x:c r="O76" s="70" t="n">
        <x:f>IF(M76="","",M76*'مدل هزینه'!$B$8/1000000)</x:f>
        <x:v>1200</x:v>
      </x:c>
      <x:c r="P76" s="26" t="str">
        <x:v>مدل نیمه‌خودکار با تمام‌خودکار متفاوت؛ کار مصرفی و نظافت باقی است</x:v>
      </x:c>
      <x:c r="Q76" s="26" t="str">
        <x:v>https://payapars.com/shop/page/2/
https://sweetrobo.com/cotton-candy-vending-machine/</x:v>
      </x:c>
    </x:row>
    <x:row r="77" ht="95" customHeight="1">
      <x:c r="A77" s="26" t="str">
        <x:v>BP073</x:v>
      </x:c>
      <x:c r="B77" s="26" t="str">
        <x:v>وندینگ پیتزا و غذای گرم</x:v>
      </x:c>
      <x:c r="C77" s="26" t="str">
        <x:v>وندینگ خوراکی</x:v>
      </x:c>
      <x:c r="D77" s="26" t="str">
        <x:v>VF08</x:v>
      </x:c>
      <x:c r="E77" s="26" t="str">
        <x:v>عرضه/نمونه مرتبط؛ استقرار فامیلی تأیید نشده</x:v>
      </x:c>
      <x:c r="F77" s="26" t="str">
        <x:v>پایاپارس — کاتالوگ پایاپارس؛ صفحه دوم</x:v>
      </x:c>
      <x:c r="G77" s="26" t="str">
        <x:v>PQ004؛ 1,890,000,000 تومان / دستگاه</x:v>
      </x:c>
      <x:c r="H77" s="26" t="str">
        <x:v>VF-S11؛ PizzaForno؛ سازوکار نگهداری و پخت خودکار
VF-S12؛ PizzaForno White Label؛ تفکیک پلتفرم و بهره‌بردار
VF-S13؛ PizzaForno در Los Angeles City College؛ نمونه محل نام‌دار</x:v>
      </x:c>
      <x:c r="I77" s="26" t="str">
        <x:v>قیمت عمومی هم‌دامنه ثبت نشده</x:v>
      </x:c>
      <x:c r="J77" s="26" t="str">
        <x:v>یک نقطه با شریک غذایی و محصول آماده معتبر</x:v>
      </x:c>
      <x:c r="K77" s="26" t="str">
        <x:v>L2</x:v>
      </x:c>
      <x:c r="L77" s="50" t="n">
        <x:v>400</x:v>
      </x:c>
      <x:c r="M77" s="50" t="n">
        <x:v>800</x:v>
      </x:c>
      <x:c r="N77" s="70" t="n">
        <x:f>IF(L77="","",L77*'مدل هزینه'!$B$6/1000000)</x:f>
        <x:v>240</x:v>
      </x:c>
      <x:c r="O77" s="70" t="n">
        <x:f>IF(M77="","",M77*'مدل هزینه'!$B$8/1000000)</x:f>
        <x:v>1200</x:v>
      </x:c>
      <x:c r="P77" s="26" t="str">
        <x:v>حفظ سرد/پخت/تحویل؛ تجهیزات پزشکی/غذایی نیازمند بررسی تخصصی مستقل</x:v>
      </x:c>
      <x:c r="Q77" s="26" t="str">
        <x:v>https://payapars.com/shop/page/2/
https://pizzaforno.com/documentation/pizzaforno-advanced-vending-technology
https://pizzaforno.com/white-label
https://pizzaforno.com/locations/pizzaforno-los-angeles-ca-la-city-college</x:v>
      </x:c>
    </x:row>
    <x:row r="78" ht="95" customHeight="1">
      <x:c r="A78" s="26" t="str">
        <x:v>BP074</x:v>
      </x:c>
      <x:c r="B78" s="26" t="str">
        <x:v>وندینگ سیب‌زمینی</x:v>
      </x:c>
      <x:c r="C78" s="26" t="str">
        <x:v>وندینگ خوراکی</x:v>
      </x:c>
      <x:c r="D78" s="26" t="str"/>
      <x:c r="E78" s="26" t="str">
        <x:v>عرضه/نمونه مرتبط؛ استقرار فامیلی تأیید نشده</x:v>
      </x:c>
      <x:c r="F78" s="26" t="str">
        <x:v>پایاپارس — کاتالوگ پایاپارس؛ صفحه دوم</x:v>
      </x:c>
      <x:c r="G78" s="26" t="str">
        <x:v>PQ006؛ 730,000,000 تومان / دستگاه</x:v>
      </x:c>
      <x:c r="H78" s="26" t="str">
        <x:v>شکاف پژوهشی</x:v>
      </x:c>
      <x:c r="I78" s="26" t="str">
        <x:v>قیمت عمومی هم‌دامنه ثبت نشده</x:v>
      </x:c>
      <x:c r="J78" s="26" t="str">
        <x:v>ابتدا نمونه واقعی و بررسی پخت، روغن، تهویه و نظافت</x:v>
      </x:c>
      <x:c r="K78" s="26" t="str">
        <x:v>L2</x:v>
      </x:c>
      <x:c r="L78" s="50" t="n">
        <x:v>400</x:v>
      </x:c>
      <x:c r="M78" s="50" t="n">
        <x:v>800</x:v>
      </x:c>
      <x:c r="N78" s="70" t="n">
        <x:f>IF(L78="","",L78*'مدل هزینه'!$B$6/1000000)</x:f>
        <x:v>240</x:v>
      </x:c>
      <x:c r="O78" s="70" t="n">
        <x:f>IF(M78="","",M78*'مدل هزینه'!$B$8/1000000)</x:f>
        <x:v>1200</x:v>
      </x:c>
      <x:c r="P78" s="26" t="str">
        <x:v>قیمت عمومی اثبات مجوز، ایمنی یا فروش موفق نیست</x:v>
      </x:c>
      <x:c r="Q78" s="26" t="str">
        <x:v>https://payapars.com/shop/page/2/</x:v>
      </x:c>
    </x:row>
    <x:row r="79" ht="95" customHeight="1">
      <x:c r="A79" s="26" t="str">
        <x:v>BP075</x:v>
      </x:c>
      <x:c r="B79" s="26" t="str">
        <x:v>وافل، کرپ، نودل، برگر و دلیمانجو</x:v>
      </x:c>
      <x:c r="C79" s="26" t="str">
        <x:v>وندینگ خوراکی</x:v>
      </x:c>
      <x:c r="D79" s="26" t="str"/>
      <x:c r="E79" s="26" t="str">
        <x:v>عرضه/نمونه مرتبط؛ استقرار فامیلی تأیید نشده</x:v>
      </x:c>
      <x:c r="F79" s="26" t="str">
        <x:v>پایاپارس — کاتالوگ پایاپارس؛ صفحه دوم</x:v>
      </x:c>
      <x:c r="G79" s="26" t="str">
        <x:v>PQ005؛ 750,000,000 تومان / دستگاه</x:v>
      </x:c>
      <x:c r="H79" s="26" t="str">
        <x:v>شکاف پژوهشی</x:v>
      </x:c>
      <x:c r="I79" s="26" t="str">
        <x:v>قیمت عمومی هم‌دامنه ثبت نشده</x:v>
      </x:c>
      <x:c r="J79" s="26" t="str">
        <x:v>هر خانواده فقط پس از شناسایی مدل و فرایند مستقل</x:v>
      </x:c>
      <x:c r="K79" s="26" t="str">
        <x:v>L2</x:v>
      </x:c>
      <x:c r="L79" s="50" t="n">
        <x:v>400</x:v>
      </x:c>
      <x:c r="M79" s="50" t="n">
        <x:v>800</x:v>
      </x:c>
      <x:c r="N79" s="70" t="n">
        <x:f>IF(L79="","",L79*'مدل هزینه'!$B$6/1000000)</x:f>
        <x:v>240</x:v>
      </x:c>
      <x:c r="O79" s="70" t="n">
        <x:f>IF(M79="","",M79*'مدل هزینه'!$B$8/1000000)</x:f>
        <x:v>1200</x:v>
      </x:c>
      <x:c r="P79" s="26" t="str">
        <x:v>قیمت دلیمانجو برای بقیه غذاها مرجع مستقیم نیست</x:v>
      </x:c>
      <x:c r="Q79" s="26" t="str">
        <x:v>https://payapars.com/shop/page/2/</x:v>
      </x:c>
    </x:row>
    <x:row r="80" ht="95" customHeight="1">
      <x:c r="A80" s="26" t="str">
        <x:v>BP076</x:v>
      </x:c>
      <x:c r="B80" s="26" t="str">
        <x:v>نشت آب و مصرف آب فروشگاه</x:v>
      </x:c>
      <x:c r="C80" s="26" t="str">
        <x:v>انرژی</x:v>
      </x:c>
      <x:c r="D80" s="26" t="str"/>
      <x:c r="E80" s="26" t="str">
        <x:v>بنچمارک مستقیم ایرانی در مجموعه احراز نشد</x:v>
      </x:c>
      <x:c r="F80" s="26" t="str">
        <x:v>بنچمارک مستقیم تثبیت نشده</x:v>
      </x:c>
      <x:c r="G80" s="26" t="str">
        <x:v>نیازمند استعلام هم‌دامنه</x:v>
      </x:c>
      <x:c r="H80" s="26" t="str">
        <x:v>GR041؛ Carrefour؛ اقدامات و هدف توسعه اعلام‌شده</x:v>
      </x:c>
      <x:c r="I80" s="26" t="str">
        <x:v>قیمت عمومی هم‌دامنه ثبت نشده</x:v>
      </x:c>
      <x:c r="J80" s="26" t="str">
        <x:v>یک نقطه نشت و روند مصرف با ارجاع تعمیرات</x:v>
      </x:c>
      <x:c r="K80" s="26" t="str">
        <x:v>L2</x:v>
      </x:c>
      <x:c r="L80" s="50" t="n">
        <x:v>400</x:v>
      </x:c>
      <x:c r="M80" s="50" t="n">
        <x:v>800</x:v>
      </x:c>
      <x:c r="N80" s="70" t="n">
        <x:f>IF(L80="","",L80*'مدل هزینه'!$B$6/1000000)</x:f>
        <x:v>240</x:v>
      </x:c>
      <x:c r="O80" s="70" t="n">
        <x:f>IF(M80="","",M80*'مدل هزینه'!$B$8/1000000)</x:f>
        <x:v>1200</x:v>
      </x:c>
      <x:c r="P80" s="26" t="str">
        <x:v>حسگر نشت جای شبکه آبرسانی/قطع‌کن ایمن نیست</x:v>
      </x:c>
      <x:c r="Q80" s="26" t="str">
        <x:v>https://www.carrefour.com/fr/news/2023/plan-de-sobriete-carrefour-sengage-reduire-la-consommation-deau-de-ses-magasins-en-france</x:v>
      </x:c>
    </x:row>
    <x:row r="81" ht="95" customHeight="1">
      <x:c r="A81" s="26" t="str">
        <x:v>BP077</x:v>
      </x:c>
      <x:c r="B81" s="26" t="str">
        <x:v>مذاکره و تدارکات هوشمند</x:v>
      </x:c>
      <x:c r="C81" s="26" t="str">
        <x:v>مدیریت</x:v>
      </x:c>
      <x:c r="D81" s="26" t="str"/>
      <x:c r="E81" s="26" t="str">
        <x:v>مؤلفه یا نمونه همجوار؛ تطابق کامل احراز نشده</x:v>
      </x:c>
      <x:c r="F81" s="26" t="str">
        <x:v>آرین سیستم — راهکار ERP آرین سیستم</x:v>
      </x:c>
      <x:c r="G81" s="26" t="str">
        <x:v>نیازمند استعلام هم‌دامنه</x:v>
      </x:c>
      <x:c r="H81" s="26" t="str">
        <x:v>GR013؛ Pactum؛ محصول تجاری معرفی‌شده</x:v>
      </x:c>
      <x:c r="I81" s="26" t="str">
        <x:v>قیمت عمومی هم‌دامنه ثبت نشده</x:v>
      </x:c>
      <x:c r="J81" s="26" t="str">
        <x:v>پیشنهاد غیرمتعهدکننده برای خریدهای کم‌ریسک با اختیار روشن</x:v>
      </x:c>
      <x:c r="K81" s="26" t="str">
        <x:v>L3</x:v>
      </x:c>
      <x:c r="L81" s="50" t="n">
        <x:v>664</x:v>
      </x:c>
      <x:c r="M81" s="50" t="n">
        <x:v>1440</x:v>
      </x:c>
      <x:c r="N81" s="70" t="n">
        <x:f>IF(L81="","",L81*'مدل هزینه'!$B$6/1000000)</x:f>
        <x:v>398.4</x:v>
      </x:c>
      <x:c r="O81" s="70" t="n">
        <x:f>IF(M81="","",M81*'مدل هزینه'!$B$8/1000000)</x:f>
        <x:v>2160</x:v>
      </x:c>
      <x:c r="P81" s="26" t="str">
        <x:v>هیچ قرارداد یا سفارش خودکار بدون اختیار معتبر</x:v>
      </x:c>
      <x:c r="Q81" s="26" t="str">
        <x:v>https://www.ariansystem.net/erp/
https://pactum.com/</x:v>
      </x:c>
    </x:row>
    <x:row r="82" ht="95" customHeight="1">
      <x:c r="A82" s="26" t="str">
        <x:v>BP078</x:v>
      </x:c>
      <x:c r="B82" s="26" t="str">
        <x:v>تحویل با پهپاد</x:v>
      </x:c>
      <x:c r="C82" s="26" t="str">
        <x:v>امکان‌سنجی</x:v>
      </x:c>
      <x:c r="D82" s="26" t="str"/>
      <x:c r="E82" s="26" t="str">
        <x:v>بنچمارک مستقیم ایرانی در مجموعه احراز نشد</x:v>
      </x:c>
      <x:c r="F82" s="26" t="str">
        <x:v>بنچمارک مستقیم تثبیت نشده</x:v>
      </x:c>
      <x:c r="G82" s="26" t="str">
        <x:v>نیازمند استعلام هم‌دامنه</x:v>
      </x:c>
      <x:c r="H82" s="26" t="str">
        <x:v>GR023؛ Meituan؛ عملیات منتخب طبق بازنشر شرکت</x:v>
      </x:c>
      <x:c r="I82" s="26" t="str">
        <x:v>قیمت عمومی هم‌دامنه ثبت نشده</x:v>
      </x:c>
      <x:c r="J82" s="26" t="str">
        <x:v>فقط امکان‌سنجی یک محیط مجاز و کنترل‌شده</x:v>
      </x:c>
      <x:c r="K82" s="26" t="str">
        <x:v>نامربوط/نامشخص</x:v>
      </x:c>
      <x:c r="L82" s="50"/>
      <x:c r="M82" s="50"/>
      <x:c r="N82" s="70" t="str">
        <x:f>IF(L82="","",L82*'مدل هزینه'!$B$6/1000000)</x:f>
      </x:c>
      <x:c r="O82" s="70" t="str">
        <x:f>IF(M82="","",M82*'مدل هزینه'!$B$8/1000000)</x:f>
      </x:c>
      <x:c r="P82" s="26" t="str">
        <x:v>قیمت پهپاد تفریحی قیمت خدمت تحویل مجاز نیست</x:v>
      </x:c>
      <x:c r="Q82" s="26" t="str">
        <x:v>https://www.meituan.com/news/NN260522185005269</x:v>
      </x:c>
    </x:row>
    <x:row r="83" ht="95" customHeight="1">
      <x:c r="A83" s="26" t="str">
        <x:v>BP079</x:v>
      </x:c>
      <x:c r="B83" s="26" t="str">
        <x:v>حمل خودران محدود</x:v>
      </x:c>
      <x:c r="C83" s="26" t="str">
        <x:v>امکان‌سنجی</x:v>
      </x:c>
      <x:c r="D83" s="26" t="str"/>
      <x:c r="E83" s="26" t="str">
        <x:v>بنچمارک مستقیم ایرانی در مجموعه احراز نشد</x:v>
      </x:c>
      <x:c r="F83" s="26" t="str">
        <x:v>بنچمارک مستقیم تثبیت نشده</x:v>
      </x:c>
      <x:c r="G83" s="26" t="str">
        <x:v>نیازمند استعلام هم‌دامنه</x:v>
      </x:c>
      <x:c r="H83" s="26" t="str">
        <x:v>GR046؛ Loblaw / Gatik؛ تجربه پیشین و قرارداد توسعه</x:v>
      </x:c>
      <x:c r="I83" s="26" t="str">
        <x:v>قیمت عمومی هم‌دامنه ثبت نشده</x:v>
      </x:c>
      <x:c r="J83" s="26" t="str">
        <x:v>مطالعه مسیر/ایمنی و قرارداد بهره‌برداری؛ نه خرید خودرو</x:v>
      </x:c>
      <x:c r="K83" s="26" t="str">
        <x:v>نامربوط/نامشخص</x:v>
      </x:c>
      <x:c r="L83" s="50"/>
      <x:c r="M83" s="50"/>
      <x:c r="N83" s="70" t="str">
        <x:f>IF(L83="","",L83*'مدل هزینه'!$B$6/1000000)</x:f>
      </x:c>
      <x:c r="O83" s="70" t="str">
        <x:f>IF(M83="","",M83*'مدل هزینه'!$B$8/1000000)</x:f>
      </x:c>
      <x:c r="P83" s="26" t="str">
        <x:v>برنامه توسعه با ناوگان عملیاتی برابر نیست؛ مجوز و مسئولیت مستقل</x:v>
      </x:c>
      <x:c r="Q83" s="26" t="str">
        <x:v>https://www.loblaw.ca/en/gatik-and-loblaw-ink-5-year-expansion-deal-to-scale-ai-powered-autonomous-trucking-solution-across-regional-distribution-networks-in-the-greater-toronto-area/</x:v>
      </x:c>
    </x:row>
    <x:row r="84" ht="95" customHeight="1">
      <x:c r="A84" s="26" t="str">
        <x:v>BP080</x:v>
      </x:c>
      <x:c r="B84" s="26" t="str">
        <x:v>تعمیر و افزایش عمر کالا</x:v>
      </x:c>
      <x:c r="C84" s="26" t="str">
        <x:v>خدمات جانبی</x:v>
      </x:c>
      <x:c r="D84" s="26" t="str">
        <x:v>HC08</x:v>
      </x:c>
      <x:c r="E84" s="26" t="str">
        <x:v>بنچمارک مستقیم ایرانی در مجموعه احراز نشد</x:v>
      </x:c>
      <x:c r="F84" s="26" t="str">
        <x:v>بنچمارک مستقیم تثبیت نشده</x:v>
      </x:c>
      <x:c r="G84" s="26" t="str">
        <x:v>نیازمند استعلام هم‌دامنه</x:v>
      </x:c>
      <x:c r="H84" s="26" t="str">
        <x:v>GR075؛ UNIQLO؛ خدمت فروشگاهی عرضه‌شده</x:v>
      </x:c>
      <x:c r="I84" s="26" t="str">
        <x:v>قیمت عمومی هم‌دامنه ثبت نشده</x:v>
      </x:c>
      <x:c r="J84" s="26" t="str">
        <x:v>یک شریک و دسته کالا با تحویل/ضمانت کار مشخص</x:v>
      </x:c>
      <x:c r="K84" s="26" t="str">
        <x:v>L2</x:v>
      </x:c>
      <x:c r="L84" s="50" t="n">
        <x:v>400</x:v>
      </x:c>
      <x:c r="M84" s="50" t="n">
        <x:v>800</x:v>
      </x:c>
      <x:c r="N84" s="70" t="n">
        <x:f>IF(L84="","",L84*'مدل هزینه'!$B$6/1000000)</x:f>
        <x:v>240</x:v>
      </x:c>
      <x:c r="O84" s="70" t="n">
        <x:f>IF(M84="","",M84*'مدل هزینه'!$B$8/1000000)</x:f>
        <x:v>1200</x:v>
      </x:c>
      <x:c r="P84" s="26" t="str">
        <x:v>هزینه خدمت و قطعه وابسته به قلم؛ فروشگاه مجری همه تعمیرات نیست</x:v>
      </x:c>
      <x:c r="Q84" s="26" t="str">
        <x:v>https://www.uniqlo.com/de/en/special-feature/sustainability/re-uniqlo-studio</x:v>
      </x:c>
    </x:row>
    <x:row r="85" ht="95" customHeight="1">
      <x:c r="A85" s="26" t="str">
        <x:v>BP081</x:v>
      </x:c>
      <x:c r="B85" s="26" t="str">
        <x:v>ربات شارژ قفسه سرد</x:v>
      </x:c>
      <x:c r="C85" s="26" t="str">
        <x:v>امکان‌سنجی</x:v>
      </x:c>
      <x:c r="D85" s="26" t="str"/>
      <x:c r="E85" s="26" t="str">
        <x:v>بنچمارک مستقیم ایرانی در مجموعه احراز نشد</x:v>
      </x:c>
      <x:c r="F85" s="26" t="str">
        <x:v>بنچمارک مستقیم تثبیت نشده</x:v>
      </x:c>
      <x:c r="G85" s="26" t="str">
        <x:v>نیازمند استعلام هم‌دامنه</x:v>
      </x:c>
      <x:c r="H85" s="26" t="str">
        <x:v>GR015؛ FamilyMart / Telexistence؛ نصب اولیه و برنامه توسعه جداگانه
GR016؛ KDDI؛ تحقیق و توسعه اعلام‌شده</x:v>
      </x:c>
      <x:c r="I85" s="26" t="str">
        <x:v>قیمت عمومی هم‌دامنه ثبت نشده</x:v>
      </x:c>
      <x:c r="J85" s="26" t="str">
        <x:v>یک مأموریت و هندسه قفسه معلوم در محیط آزمایشی</x:v>
      </x:c>
      <x:c r="K85" s="26" t="str">
        <x:v>نامربوط/نامشخص</x:v>
      </x:c>
      <x:c r="L85" s="50"/>
      <x:c r="M85" s="50"/>
      <x:c r="N85" s="70" t="str">
        <x:f>IF(L85="","",L85*'مدل هزینه'!$B$6/1000000)</x:f>
      </x:c>
      <x:c r="O85" s="70" t="str">
        <x:f>IF(M85="","",M85*'مدل هزینه'!$B$8/1000000)</x:f>
      </x:c>
      <x:c r="P85" s="26" t="str">
        <x:v>خبر توسعه۳۰۰واحد را نصب قطعی امروز ننامیم؛ ایمنی مجزا</x:v>
      </x:c>
      <x:c r="Q85" s="26" t="str">
        <x:v>https://tx-inc.com/en/blog/2021/11/02/11451/
https://tx-inc.com/en/blog/2022/08/10/11737/
https://newsroom.kddi.com/english/news/detail/kddi_nr-1184_4744.html</x:v>
      </x:c>
    </x:row>
    <x:row r="86" ht="95" customHeight="1">
      <x:c r="A86" s="26" t="str">
        <x:v>BP082</x:v>
      </x:c>
      <x:c r="B86" s="26" t="str">
        <x:v>پرداخت حضوری برای سفارش آنلاین</x:v>
      </x:c>
      <x:c r="C86" s="26" t="str">
        <x:v>تجربه مشتری</x:v>
      </x:c>
      <x:c r="D86" s="26" t="str"/>
      <x:c r="E86" s="26" t="str">
        <x:v>بنچمارک مستقیم ایرانی در مجموعه احراز نشد</x:v>
      </x:c>
      <x:c r="F86" s="26" t="str">
        <x:v>بنچمارک مستقیم تثبیت نشده</x:v>
      </x:c>
      <x:c r="G86" s="26" t="str">
        <x:v>نیازمند استعلام هم‌دامنه</x:v>
      </x:c>
      <x:c r="H86" s="26" t="str">
        <x:v>GR051؛ OXXO / Conekta؛ خدمت تاریخی راه‌اندازی‌شده</x:v>
      </x:c>
      <x:c r="I86" s="26" t="str">
        <x:v>قیمت عمومی هم‌دامنه ثبت نشده</x:v>
      </x:c>
      <x:c r="J86" s="26" t="str">
        <x:v>یک شریک مجاز، شناسه سفارش و تطبیق وجه</x:v>
      </x:c>
      <x:c r="K86" s="26" t="str">
        <x:v>L3</x:v>
      </x:c>
      <x:c r="L86" s="50" t="n">
        <x:v>664</x:v>
      </x:c>
      <x:c r="M86" s="50" t="n">
        <x:v>1440</x:v>
      </x:c>
      <x:c r="N86" s="70" t="n">
        <x:f>IF(L86="","",L86*'مدل هزینه'!$B$6/1000000)</x:f>
        <x:v>398.4</x:v>
      </x:c>
      <x:c r="O86" s="70" t="n">
        <x:f>IF(M86="","",M86*'مدل هزینه'!$B$8/1000000)</x:f>
        <x:v>2160</x:v>
      </x:c>
      <x:c r="P86" s="26" t="str">
        <x:v>مدل OXXOPay مجوز اجرای همان خدمت در ایران نیست</x:v>
      </x:c>
      <x:c r="Q86" s="26" t="str">
        <x:v>https://www.femsa.com/en/press-room/press-release/oxxo-pay-new-digital-payment-solution-for-retailers/</x:v>
      </x:c>
    </x:row>
    <x:row r="87" ht="95" customHeight="1">
      <x:c r="A87" s="26" t="str">
        <x:v>BP083</x:v>
      </x:c>
      <x:c r="B87" s="26" t="str">
        <x:v>مایع ظرفشویی ریفیل</x:v>
      </x:c>
      <x:c r="C87" s="26" t="str">
        <x:v>محصول ریفیل</x:v>
      </x:c>
      <x:c r="D87" s="26" t="str">
        <x:v>RF-P01</x:v>
      </x:c>
      <x:c r="E87" s="26" t="str">
        <x:v>عرضه/نمونه مرتبط؛ استقرار فامیلی تأیید نشده</x:v>
      </x:c>
      <x:c r="F87" s="26" t="str">
        <x:v>گرین‌چی — کاتالوگ گرین‌چی</x:v>
      </x:c>
      <x:c r="G87" s="26" t="str">
        <x:v>نیازمند استعلام هم‌دامنه</x:v>
      </x:c>
      <x:c r="H87" s="26" t="str">
        <x:v>rf-s012؛ خدمت ریفیل برند Ecover</x:v>
      </x:c>
      <x:c r="I87" s="26" t="str">
        <x:v>قیمت عمومی هم‌دامنه ثبت نشده</x:v>
      </x:c>
      <x:c r="J87" s="26" t="str">
        <x:v>سازنده/فرمول/قیمت واحد و ظرف سازگار؛ ۱۰۰لیتر فرضی برای استعلام، نه سفارش</x:v>
      </x:c>
      <x:c r="K87" s="26" t="str">
        <x:v>نامربوط/نامشخص</x:v>
      </x:c>
      <x:c r="L87" s="50"/>
      <x:c r="M87" s="50"/>
      <x:c r="N87" s="70" t="str">
        <x:f>IF(L87="","",L87*'مدل هزینه'!$B$6/1000000)</x:f>
      </x:c>
      <x:c r="O87" s="70" t="str">
        <x:f>IF(M87="","",M87*'مدل هزینه'!$B$8/1000000)</x:f>
      </x:c>
      <x:c r="P87" s="26" t="str">
        <x:v>قیمت عمده/خرده، ماده فعال، بسته‌بندی و واحد باید هم‌تعریف باشند؛ قیمت استعلام نشده و صفر نیست.</x:v>
      </x:c>
      <x:c r="Q87" s="26" t="str">
        <x:v>https://greenchimarket.co/products.php
https://uk.ecover.com/refill-ecover-over/</x:v>
      </x:c>
    </x:row>
    <x:row r="88" ht="95" customHeight="1">
      <x:c r="A88" s="26" t="str">
        <x:v>BP084</x:v>
      </x:c>
      <x:c r="B88" s="26" t="str">
        <x:v>مایع لباسشویی ریفیل</x:v>
      </x:c>
      <x:c r="C88" s="26" t="str">
        <x:v>محصول ریفیل</x:v>
      </x:c>
      <x:c r="D88" s="26" t="str">
        <x:v>RF-P02</x:v>
      </x:c>
      <x:c r="E88" s="26" t="str">
        <x:v>عرضه/نمونه مرتبط؛ استقرار فامیلی تأیید نشده</x:v>
      </x:c>
      <x:c r="F88" s="26" t="str">
        <x:v>گرین‌چی — کاتالوگ گرین‌چی</x:v>
      </x:c>
      <x:c r="G88" s="26" t="str">
        <x:v>نیازمند استعلام هم‌دامنه</x:v>
      </x:c>
      <x:c r="H88" s="26" t="str">
        <x:v>rf-s007؛ ایستگاه‌های QYOS و Unilever در اندونزی</x:v>
      </x:c>
      <x:c r="I88" s="26" t="str">
        <x:v>قیمت عمومی هم‌دامنه ثبت نشده</x:v>
      </x:c>
      <x:c r="J88" s="26" t="str">
        <x:v>دوز معتبر و هزینه هر شست‌وشو؛ غلظت برابر فرض نشود</x:v>
      </x:c>
      <x:c r="K88" s="26" t="str">
        <x:v>نامربوط/نامشخص</x:v>
      </x:c>
      <x:c r="L88" s="50"/>
      <x:c r="M88" s="50"/>
      <x:c r="N88" s="70" t="str">
        <x:f>IF(L88="","",L88*'مدل هزینه'!$B$6/1000000)</x:f>
      </x:c>
      <x:c r="O88" s="70" t="str">
        <x:f>IF(M88="","",M88*'مدل هزینه'!$B$8/1000000)</x:f>
      </x:c>
      <x:c r="P88" s="26" t="str">
        <x:v>قیمت عمده/خرده، ماده فعال، بسته‌بندی و واحد باید هم‌تعریف باشند؛ قیمت استعلام نشده و صفر نیست.</x:v>
      </x:c>
      <x:c r="Q88" s="26" t="str">
        <x:v>https://greenchimarket.co/products.php
https://www.unilever.co.id/news/press-releases/2022/unilever-indonesia-dan-qyos-hadirkan-refill-station-sebagai-alternatif-belanja/</x:v>
      </x:c>
    </x:row>
    <x:row r="89" ht="95" customHeight="1">
      <x:c r="A89" s="26" t="str">
        <x:v>BP085</x:v>
      </x:c>
      <x:c r="B89" s="26" t="str">
        <x:v>پاک‌کننده سطح ریفیل</x:v>
      </x:c>
      <x:c r="C89" s="26" t="str">
        <x:v>محصول ریفیل</x:v>
      </x:c>
      <x:c r="D89" s="26" t="str">
        <x:v>RF-P03</x:v>
      </x:c>
      <x:c r="E89" s="26" t="str">
        <x:v>عرضه/نمونه مرتبط؛ استقرار فامیلی تأیید نشده</x:v>
      </x:c>
      <x:c r="F89" s="26" t="str">
        <x:v>گرین‌چی — کاتالوگ گرین‌چی</x:v>
      </x:c>
      <x:c r="G89" s="26" t="str">
        <x:v>نیازمند استعلام هم‌دامنه</x:v>
      </x:c>
      <x:c r="H89" s="26" t="str">
        <x:v>rf-s012؛ خدمت ریفیل برند Ecover</x:v>
      </x:c>
      <x:c r="I89" s="26" t="str">
        <x:v>قیمت عمومی هم‌دامنه ثبت نشده</x:v>
      </x:c>
      <x:c r="J89" s="26" t="str">
        <x:v>فرمول منتخب و سطح مجاز؛ واژه عمومی گواهی کم‌خطر بودن نیست</x:v>
      </x:c>
      <x:c r="K89" s="26" t="str">
        <x:v>نامربوط/نامشخص</x:v>
      </x:c>
      <x:c r="L89" s="50"/>
      <x:c r="M89" s="50"/>
      <x:c r="N89" s="70" t="str">
        <x:f>IF(L89="","",L89*'مدل هزینه'!$B$6/1000000)</x:f>
      </x:c>
      <x:c r="O89" s="70" t="str">
        <x:f>IF(M89="","",M89*'مدل هزینه'!$B$8/1000000)</x:f>
      </x:c>
      <x:c r="P89" s="26" t="str">
        <x:v>قیمت عمده/خرده، ماده فعال، بسته‌بندی و واحد باید هم‌تعریف باشند؛ قیمت استعلام نشده و صفر نیست.</x:v>
      </x:c>
      <x:c r="Q89" s="26" t="str">
        <x:v>https://greenchimarket.co/products.php
https://uk.ecover.com/refill-ecover-over/</x:v>
      </x:c>
    </x:row>
    <x:row r="90" ht="95" customHeight="1">
      <x:c r="A90" s="26" t="str">
        <x:v>BP086</x:v>
      </x:c>
      <x:c r="B90" s="26" t="str">
        <x:v>نرم‌کننده لباس ریفیل</x:v>
      </x:c>
      <x:c r="C90" s="26" t="str">
        <x:v>محصول ریفیل</x:v>
      </x:c>
      <x:c r="D90" s="26" t="str">
        <x:v>RF-P04</x:v>
      </x:c>
      <x:c r="E90" s="26" t="str">
        <x:v>بنچمارک مستقیم ایرانی در مجموعه احراز نشد</x:v>
      </x:c>
      <x:c r="F90" s="26" t="str">
        <x:v>بنچمارک مستقیم تثبیت نشده</x:v>
      </x:c>
      <x:c r="G90" s="26" t="str">
        <x:v>نیازمند استعلام هم‌دامنه</x:v>
      </x:c>
      <x:c r="H90" s="26" t="str">
        <x:v>rf-s012؛ خدمت ریفیل برند Ecover</x:v>
      </x:c>
      <x:c r="I90" s="26" t="str">
        <x:v>قیمت عمومی هم‌دامنه ثبت نشده</x:v>
      </x:c>
      <x:c r="J90" s="26" t="str">
        <x:v>در کاتالوگ خوانده‌شده گرین‌چی احراز نشد؛ توسعه پیشنهادی است</x:v>
      </x:c>
      <x:c r="K90" s="26" t="str">
        <x:v>نامربوط/نامشخص</x:v>
      </x:c>
      <x:c r="L90" s="50"/>
      <x:c r="M90" s="50"/>
      <x:c r="N90" s="70" t="str">
        <x:f>IF(L90="","",L90*'مدل هزینه'!$B$6/1000000)</x:f>
      </x:c>
      <x:c r="O90" s="70" t="str">
        <x:f>IF(M90="","",M90*'مدل هزینه'!$B$8/1000000)</x:f>
      </x:c>
      <x:c r="P90" s="26" t="str">
        <x:v>قیمت عمده/خرده، ماده فعال، بسته‌بندی و واحد باید هم‌تعریف باشند؛ قیمت استعلام نشده و صفر نیست.</x:v>
      </x:c>
      <x:c r="Q90" s="26" t="str">
        <x:v>https://uk.ecover.com/refill-ecover-over/</x:v>
      </x:c>
    </x:row>
    <x:row r="91" ht="95" customHeight="1">
      <x:c r="A91" s="26" t="str">
        <x:v>BP087</x:v>
      </x:c>
      <x:c r="B91" s="26" t="str">
        <x:v>شیشه‌پاک‌کن ریفیل</x:v>
      </x:c>
      <x:c r="C91" s="26" t="str">
        <x:v>محصول ریفیل</x:v>
      </x:c>
      <x:c r="D91" s="26" t="str">
        <x:v>RF-P05</x:v>
      </x:c>
      <x:c r="E91" s="26" t="str">
        <x:v>عرضه/نمونه مرتبط؛ استقرار فامیلی تأیید نشده</x:v>
      </x:c>
      <x:c r="F91" s="26" t="str">
        <x:v>گرین‌چی — کاتالوگ گرین‌چی</x:v>
      </x:c>
      <x:c r="G91" s="26" t="str">
        <x:v>نیازمند استعلام هم‌دامنه</x:v>
      </x:c>
      <x:c r="H91" s="26" t="str">
        <x:v>rf-s012؛ خدمت ریفیل برند Ecover</x:v>
      </x:c>
      <x:c r="I91" s="26" t="str">
        <x:v>قیمت عمومی هم‌دامنه ثبت نشده</x:v>
      </x:c>
      <x:c r="J91" s="26" t="str">
        <x:v>مدار و ظرف مستقل؛ غلظت/واحد معامله روشن</x:v>
      </x:c>
      <x:c r="K91" s="26" t="str">
        <x:v>نامربوط/نامشخص</x:v>
      </x:c>
      <x:c r="L91" s="50"/>
      <x:c r="M91" s="50"/>
      <x:c r="N91" s="70" t="str">
        <x:f>IF(L91="","",L91*'مدل هزینه'!$B$6/1000000)</x:f>
      </x:c>
      <x:c r="O91" s="70" t="str">
        <x:f>IF(M91="","",M91*'مدل هزینه'!$B$8/1000000)</x:f>
      </x:c>
      <x:c r="P91" s="26" t="str">
        <x:v>قیمت عمده/خرده، ماده فعال، بسته‌بندی و واحد باید هم‌تعریف باشند؛ قیمت استعلام نشده و صفر نیست.</x:v>
      </x:c>
      <x:c r="Q91" s="26" t="str">
        <x:v>https://greenchimarket.co/products.php
https://uk.ecover.com/refill-ecover-over/</x:v>
      </x:c>
    </x:row>
    <x:row r="92" ht="95" customHeight="1">
      <x:c r="A92" s="26" t="str">
        <x:v>BP088</x:v>
      </x:c>
      <x:c r="B92" s="26" t="str">
        <x:v>مایع یا فوم دست ریفیل</x:v>
      </x:c>
      <x:c r="C92" s="26" t="str">
        <x:v>محصول ریفیل</x:v>
      </x:c>
      <x:c r="D92" s="26" t="str">
        <x:v>RF-P06</x:v>
      </x:c>
      <x:c r="E92" s="26" t="str">
        <x:v>عرضه/نمونه مرتبط؛ استقرار فامیلی تأیید نشده</x:v>
      </x:c>
      <x:c r="F92" s="26" t="str">
        <x:v>گرین‌چی — کاتالوگ گرین‌چی</x:v>
      </x:c>
      <x:c r="G92" s="26" t="str">
        <x:v>نیازمند استعلام هم‌دامنه</x:v>
      </x:c>
      <x:c r="H92" s="26" t="str">
        <x:v>rf-s013؛ کیت بطری و قرص جایگزین Blueland</x:v>
      </x:c>
      <x:c r="I92" s="26" t="str">
        <x:v>قیمت عمومی هم‌دامنه ثبت نشده</x:v>
      </x:c>
      <x:c r="J92" s="26" t="str">
        <x:v>ارزیابی کیفیت میکروبی، پایداری و ظرف</x:v>
      </x:c>
      <x:c r="K92" s="26" t="str">
        <x:v>نامربوط/نامشخص</x:v>
      </x:c>
      <x:c r="L92" s="50"/>
      <x:c r="M92" s="50"/>
      <x:c r="N92" s="70" t="str">
        <x:f>IF(L92="","",L92*'مدل هزینه'!$B$6/1000000)</x:f>
      </x:c>
      <x:c r="O92" s="70" t="str">
        <x:f>IF(M92="","",M92*'مدل هزینه'!$B$8/1000000)</x:f>
      </x:c>
      <x:c r="P92" s="26" t="str">
        <x:v>قیمت عمده/خرده، ماده فعال، بسته‌بندی و واحد باید هم‌تعریف باشند؛ قیمت استعلام نشده و صفر نیست.</x:v>
      </x:c>
      <x:c r="Q92" s="26" t="str">
        <x:v>https://greenchimarket.co/products.php
https://www.blueland.com/products/the-clean-essentials</x:v>
      </x:c>
    </x:row>
    <x:row r="93" ht="95" customHeight="1">
      <x:c r="A93" s="26" t="str">
        <x:v>BP089</x:v>
      </x:c>
      <x:c r="B93" s="26" t="str">
        <x:v>شامپو و شوینده بدن ریفیل</x:v>
      </x:c>
      <x:c r="C93" s="26" t="str">
        <x:v>محصول ریفیل</x:v>
      </x:c>
      <x:c r="D93" s="26" t="str">
        <x:v>RF-P07</x:v>
      </x:c>
      <x:c r="E93" s="26" t="str">
        <x:v>بنچمارک مستقیم ایرانی در مجموعه احراز نشد</x:v>
      </x:c>
      <x:c r="F93" s="26" t="str">
        <x:v>بنچمارک مستقیم تثبیت نشده</x:v>
      </x:c>
      <x:c r="G93" s="26" t="str">
        <x:v>نیازمند استعلام هم‌دامنه</x:v>
      </x:c>
      <x:c r="H93" s="26" t="str">
        <x:v>rf-s008؛ مدل کم‌فناوری Alner و چالش عادت خرید</x:v>
      </x:c>
      <x:c r="I93" s="26" t="str">
        <x:v>قیمت عمومی هم‌دامنه ثبت نشده</x:v>
      </x:c>
      <x:c r="J93" s="26" t="str">
        <x:v>محصول فعلی گرین‌چی فرض نشده؛ پرونده کیفیت و مجوز اختصاصی</x:v>
      </x:c>
      <x:c r="K93" s="26" t="str">
        <x:v>نامربوط/نامشخص</x:v>
      </x:c>
      <x:c r="L93" s="50"/>
      <x:c r="M93" s="50"/>
      <x:c r="N93" s="70" t="str">
        <x:f>IF(L93="","",L93*'مدل هزینه'!$B$6/1000000)</x:f>
      </x:c>
      <x:c r="O93" s="70" t="str">
        <x:f>IF(M93="","",M93*'مدل هزینه'!$B$8/1000000)</x:f>
      </x:c>
      <x:c r="P93" s="26" t="str">
        <x:v>قیمت عمده/خرده، ماده فعال، بسته‌بندی و واحد باید هم‌تعریف باشند؛ قیمت استعلام نشده و صفر نیست.</x:v>
      </x:c>
      <x:c r="Q93" s="26" t="str">
        <x:v>https://www.unilever.co.id/en//news/press-releases/2024/refill-station-empower-msmes-to-encourage-an-environmentally-friendly-shopping-lifestyle/</x:v>
      </x:c>
    </x:row>
    <x:row r="94" ht="95" customHeight="1">
      <x:c r="A94" s="26" t="str">
        <x:v>BP090</x:v>
      </x:c>
      <x:c r="B94" s="26" t="str">
        <x:v>پودر لباسشویی وزنی</x:v>
      </x:c>
      <x:c r="C94" s="26" t="str">
        <x:v>محصول ریفیل</x:v>
      </x:c>
      <x:c r="D94" s="26" t="str">
        <x:v>RF-P08</x:v>
      </x:c>
      <x:c r="E94" s="26" t="str">
        <x:v>عرضه/نمونه مرتبط؛ استقرار فامیلی تأیید نشده</x:v>
      </x:c>
      <x:c r="F94" s="26" t="str">
        <x:v>گرین‌چی — کاتالوگ گرین‌چی</x:v>
      </x:c>
      <x:c r="G94" s="26" t="str">
        <x:v>نیازمند استعلام هم‌دامنه</x:v>
      </x:c>
      <x:c r="H94" s="26" t="str">
        <x:v>rf-s012؛ خدمت ریفیل برند Ecover</x:v>
      </x:c>
      <x:c r="I94" s="26" t="str">
        <x:v>قیمت عمومی هم‌دامنه ثبت نشده</x:v>
      </x:c>
      <x:c r="J94" s="26" t="str">
        <x:v>فروش جرمی خشک؛ تجهیز و گردوغبار جدا از مایع</x:v>
      </x:c>
      <x:c r="K94" s="26" t="str">
        <x:v>نامربوط/نامشخص</x:v>
      </x:c>
      <x:c r="L94" s="50"/>
      <x:c r="M94" s="50"/>
      <x:c r="N94" s="70" t="str">
        <x:f>IF(L94="","",L94*'مدل هزینه'!$B$6/1000000)</x:f>
      </x:c>
      <x:c r="O94" s="70" t="str">
        <x:f>IF(M94="","",M94*'مدل هزینه'!$B$8/1000000)</x:f>
      </x:c>
      <x:c r="P94" s="26" t="str">
        <x:v>قیمت عمده/خرده، ماده فعال، بسته‌بندی و واحد باید هم‌تعریف باشند؛ قیمت استعلام نشده و صفر نیست.</x:v>
      </x:c>
      <x:c r="Q94" s="26" t="str">
        <x:v>https://greenchimarket.co/products.php
https://uk.ecover.com/refill-ecover-over/</x:v>
      </x:c>
    </x:row>
    <x:row r="95" ht="95" customHeight="1">
      <x:c r="A95" s="26" t="str">
        <x:v>BP091</x:v>
      </x:c>
      <x:c r="B95" s="26" t="str">
        <x:v>ظرف اختصاصی چندبارمصرف</x:v>
      </x:c>
      <x:c r="C95" s="26" t="str">
        <x:v>محصول ریفیل</x:v>
      </x:c>
      <x:c r="D95" s="26" t="str">
        <x:v>RF-P09</x:v>
      </x:c>
      <x:c r="E95" s="26" t="str">
        <x:v>بنچمارک مستقیم ایرانی در مجموعه احراز نشد</x:v>
      </x:c>
      <x:c r="F95" s="26" t="str">
        <x:v>بنچمارک مستقیم تثبیت نشده</x:v>
      </x:c>
      <x:c r="G95" s="26" t="str">
        <x:v>نیازمند استعلام هم‌دامنه</x:v>
      </x:c>
      <x:c r="H95" s="26" t="str">
        <x:v>rf-s013؛ کیت بطری و قرص جایگزین Blueland</x:v>
      </x:c>
      <x:c r="I95" s="26" t="str">
        <x:v>قیمت عمومی هم‌دامنه ثبت نشده</x:v>
      </x:c>
      <x:c r="J95" s="26" t="str">
        <x:v>جنس، ظرفیت مفید، درپوش، سری و آزمون سازگاری</x:v>
      </x:c>
      <x:c r="K95" s="26" t="str">
        <x:v>نامربوط/نامشخص</x:v>
      </x:c>
      <x:c r="L95" s="50"/>
      <x:c r="M95" s="50"/>
      <x:c r="N95" s="70" t="str">
        <x:f>IF(L95="","",L95*'مدل هزینه'!$B$6/1000000)</x:f>
      </x:c>
      <x:c r="O95" s="70" t="str">
        <x:f>IF(M95="","",M95*'مدل هزینه'!$B$8/1000000)</x:f>
      </x:c>
      <x:c r="P95" s="26" t="str">
        <x:v>قیمت عمده/خرده، ماده فعال، بسته‌بندی و واحد باید هم‌تعریف باشند؛ قیمت استعلام نشده و صفر نیست.</x:v>
      </x:c>
      <x:c r="Q95" s="26" t="str">
        <x:v>https://www.blueland.com/products/the-clean-essentials</x:v>
      </x:c>
    </x:row>
    <x:row r="96" ht="95" customHeight="1">
      <x:c r="A96" s="26" t="str">
        <x:v>BP092</x:v>
      </x:c>
      <x:c r="B96" s="26" t="str">
        <x:v>درپوش، پمپ و اسپری جایگزین</x:v>
      </x:c>
      <x:c r="C96" s="26" t="str">
        <x:v>محصول ریفیل</x:v>
      </x:c>
      <x:c r="D96" s="26" t="str">
        <x:v>RF-P10</x:v>
      </x:c>
      <x:c r="E96" s="26" t="str">
        <x:v>بنچمارک مستقیم ایرانی در مجموعه احراز نشد</x:v>
      </x:c>
      <x:c r="F96" s="26" t="str">
        <x:v>بنچمارک مستقیم تثبیت نشده</x:v>
      </x:c>
      <x:c r="G96" s="26" t="str">
        <x:v>نیازمند استعلام هم‌دامنه</x:v>
      </x:c>
      <x:c r="H96" s="26" t="str">
        <x:v>rf-s013؛ کیت بطری و قرص جایگزین Blueland</x:v>
      </x:c>
      <x:c r="I96" s="26" t="str">
        <x:v>قیمت عمومی هم‌دامنه ثبت نشده</x:v>
      </x:c>
      <x:c r="J96" s="26" t="str">
        <x:v>قطعه سازگار با همان ظرف و فرمول؛ MOQ و آزمون نشت</x:v>
      </x:c>
      <x:c r="K96" s="26" t="str">
        <x:v>نامربوط/نامشخص</x:v>
      </x:c>
      <x:c r="L96" s="50"/>
      <x:c r="M96" s="50"/>
      <x:c r="N96" s="70" t="str">
        <x:f>IF(L96="","",L96*'مدل هزینه'!$B$6/1000000)</x:f>
      </x:c>
      <x:c r="O96" s="70" t="str">
        <x:f>IF(M96="","",M96*'مدل هزینه'!$B$8/1000000)</x:f>
      </x:c>
      <x:c r="P96" s="26" t="str">
        <x:v>قیمت عمده/خرده، ماده فعال، بسته‌بندی و واحد باید هم‌تعریف باشند؛ قیمت استعلام نشده و صفر نیست.</x:v>
      </x:c>
      <x:c r="Q96" s="26" t="str">
        <x:v>https://www.blueland.com/products/the-clean-essentials</x:v>
      </x:c>
    </x:row>
    <x:row r="97" ht="95" customHeight="1">
      <x:c r="A97" s="26" t="str">
        <x:v>BP093</x:v>
      </x:c>
      <x:c r="B97" s="26" t="str">
        <x:v>ابزار دوز و پیمانه</x:v>
      </x:c>
      <x:c r="C97" s="26" t="str">
        <x:v>محصول ریفیل</x:v>
      </x:c>
      <x:c r="D97" s="26" t="str">
        <x:v>RF-P11</x:v>
      </x:c>
      <x:c r="E97" s="26" t="str">
        <x:v>بنچمارک مستقیم ایرانی در مجموعه احراز نشد</x:v>
      </x:c>
      <x:c r="F97" s="26" t="str">
        <x:v>بنچمارک مستقیم تثبیت نشده</x:v>
      </x:c>
      <x:c r="G97" s="26" t="str">
        <x:v>نیازمند استعلام هم‌دامنه</x:v>
      </x:c>
      <x:c r="H97" s="26" t="str">
        <x:v>rf-s013؛ کیت بطری و قرص جایگزین Blueland</x:v>
      </x:c>
      <x:c r="I97" s="26" t="str">
        <x:v>قیمت عمومی هم‌دامنه ثبت نشده</x:v>
      </x:c>
      <x:c r="J97" s="26" t="str">
        <x:v>حجم/جرم دوز فقط طبق دستور معتبر محصول</x:v>
      </x:c>
      <x:c r="K97" s="26" t="str">
        <x:v>نامربوط/نامشخص</x:v>
      </x:c>
      <x:c r="L97" s="50"/>
      <x:c r="M97" s="50"/>
      <x:c r="N97" s="70" t="str">
        <x:f>IF(L97="","",L97*'مدل هزینه'!$B$6/1000000)</x:f>
      </x:c>
      <x:c r="O97" s="70" t="str">
        <x:f>IF(M97="","",M97*'مدل هزینه'!$B$8/1000000)</x:f>
      </x:c>
      <x:c r="P97" s="26" t="str">
        <x:v>قیمت عمده/خرده، ماده فعال، بسته‌بندی و واحد باید هم‌تعریف باشند؛ قیمت استعلام نشده و صفر نیست.</x:v>
      </x:c>
      <x:c r="Q97" s="26" t="str">
        <x:v>https://www.blueland.com/products/the-clean-essentials</x:v>
      </x:c>
    </x:row>
    <x:row r="98" ht="95" customHeight="1">
      <x:c r="A98" s="26" t="str">
        <x:v>BP094</x:v>
      </x:c>
      <x:c r="B98" s="26" t="str">
        <x:v>سبد حمل ضدواژگونی</x:v>
      </x:c>
      <x:c r="C98" s="26" t="str">
        <x:v>محصول ریفیل</x:v>
      </x:c>
      <x:c r="D98" s="26" t="str">
        <x:v>RF-P12</x:v>
      </x:c>
      <x:c r="E98" s="26" t="str">
        <x:v>بنچمارک مستقیم ایرانی در مجموعه احراز نشد</x:v>
      </x:c>
      <x:c r="F98" s="26" t="str">
        <x:v>بنچمارک مستقیم تثبیت نشده</x:v>
      </x:c>
      <x:c r="G98" s="26" t="str">
        <x:v>نیازمند استعلام هم‌دامنه</x:v>
      </x:c>
      <x:c r="H98" s="26" t="str">
        <x:v>rf-s010؛ Refill Coalition؛ ظرف عمده برگشت‌پذیر و تحویل خانگی</x:v>
      </x:c>
      <x:c r="I98" s="26" t="str">
        <x:v>قیمت عمومی هم‌دامنه ثبت نشده</x:v>
      </x:c>
      <x:c r="J98" s="26" t="str">
        <x:v>ظرفیت و مواد و آزمون پایداری؛ نمونه عمومی بسته‌بندی نه تطابق مستقیم</x:v>
      </x:c>
      <x:c r="K98" s="26" t="str">
        <x:v>نامربوط/نامشخص</x:v>
      </x:c>
      <x:c r="L98" s="50"/>
      <x:c r="M98" s="50"/>
      <x:c r="N98" s="70" t="str">
        <x:f>IF(L98="","",L98*'مدل هزینه'!$B$6/1000000)</x:f>
      </x:c>
      <x:c r="O98" s="70" t="str">
        <x:f>IF(M98="","",M98*'مدل هزینه'!$B$8/1000000)</x:f>
      </x:c>
      <x:c r="P98" s="26" t="str">
        <x:v>قیمت عمده/خرده، ماده فعال، بسته‌بندی و واحد باید هم‌تعریف باشند؛ قیمت استعلام نشده و صفر نیست.</x:v>
      </x:c>
      <x:c r="Q98" s="26" t="str">
        <x:v>https://gounpackaged.com/refill-coalition</x:v>
      </x:c>
    </x:row>
    <x:row r="99" ht="95" customHeight="1">
      <x:c r="A99" s="26" t="str">
        <x:v>BP095</x:v>
      </x:c>
      <x:c r="B99" s="26" t="str">
        <x:v>کیت شروع آشپزخانه</x:v>
      </x:c>
      <x:c r="C99" s="26" t="str">
        <x:v>محصول ریفیل</x:v>
      </x:c>
      <x:c r="D99" s="26" t="str">
        <x:v>RF-P13</x:v>
      </x:c>
      <x:c r="E99" s="26" t="str">
        <x:v>بنچمارک مستقیم ایرانی در مجموعه احراز نشد</x:v>
      </x:c>
      <x:c r="F99" s="26" t="str">
        <x:v>بنچمارک مستقیم تثبیت نشده</x:v>
      </x:c>
      <x:c r="G99" s="26" t="str">
        <x:v>نیازمند استعلام هم‌دامنه</x:v>
      </x:c>
      <x:c r="H99" s="26" t="str">
        <x:v>rf-s013؛ کیت بطری و قرص جایگزین Blueland</x:v>
      </x:c>
      <x:c r="I99" s="26" t="str">
        <x:v>قیمت عمومی هم‌دامنه ثبت نشده</x:v>
      </x:c>
      <x:c r="J99" s="26" t="str">
        <x:v>دو ماده در دو ظرف جدا؛ بسته تجاری نه فرمول مخلوط</x:v>
      </x:c>
      <x:c r="K99" s="26" t="str">
        <x:v>نامربوط/نامشخص</x:v>
      </x:c>
      <x:c r="L99" s="50"/>
      <x:c r="M99" s="50"/>
      <x:c r="N99" s="70" t="str">
        <x:f>IF(L99="","",L99*'مدل هزینه'!$B$6/1000000)</x:f>
      </x:c>
      <x:c r="O99" s="70" t="str">
        <x:f>IF(M99="","",M99*'مدل هزینه'!$B$8/1000000)</x:f>
      </x:c>
      <x:c r="P99" s="26" t="str">
        <x:v>قیمت عمده/خرده، ماده فعال، بسته‌بندی و واحد باید هم‌تعریف باشند؛ قیمت استعلام نشده و صفر نیست.</x:v>
      </x:c>
      <x:c r="Q99" s="26" t="str">
        <x:v>https://www.blueland.com/products/the-clean-essentials</x:v>
      </x:c>
    </x:row>
    <x:row r="100" ht="95" customHeight="1">
      <x:c r="A100" s="26" t="str">
        <x:v>BP096</x:v>
      </x:c>
      <x:c r="B100" s="26" t="str">
        <x:v>کیت لباسشویی</x:v>
      </x:c>
      <x:c r="C100" s="26" t="str">
        <x:v>محصول ریفیل</x:v>
      </x:c>
      <x:c r="D100" s="26" t="str">
        <x:v>RF-P14</x:v>
      </x:c>
      <x:c r="E100" s="26" t="str">
        <x:v>بنچمارک مستقیم ایرانی در مجموعه احراز نشد</x:v>
      </x:c>
      <x:c r="F100" s="26" t="str">
        <x:v>بنچمارک مستقیم تثبیت نشده</x:v>
      </x:c>
      <x:c r="G100" s="26" t="str">
        <x:v>نیازمند استعلام هم‌دامنه</x:v>
      </x:c>
      <x:c r="H100" s="26" t="str">
        <x:v>rf-s012؛ خدمت ریفیل برند Ecover</x:v>
      </x:c>
      <x:c r="I100" s="26" t="str">
        <x:v>قیمت عمومی هم‌دامنه ثبت نشده</x:v>
      </x:c>
      <x:c r="J100" s="26" t="str">
        <x:v>دوز و فرمول/ظرف مستقل؛ اقتصاد بسته با جمع ساده متفاوت است</x:v>
      </x:c>
      <x:c r="K100" s="26" t="str">
        <x:v>نامربوط/نامشخص</x:v>
      </x:c>
      <x:c r="L100" s="50"/>
      <x:c r="M100" s="50"/>
      <x:c r="N100" s="70" t="str">
        <x:f>IF(L100="","",L100*'مدل هزینه'!$B$6/1000000)</x:f>
      </x:c>
      <x:c r="O100" s="70" t="str">
        <x:f>IF(M100="","",M100*'مدل هزینه'!$B$8/1000000)</x:f>
      </x:c>
      <x:c r="P100" s="26" t="str">
        <x:v>قیمت عمده/خرده، ماده فعال، بسته‌بندی و واحد باید هم‌تعریف باشند؛ قیمت استعلام نشده و صفر نیست.</x:v>
      </x:c>
      <x:c r="Q100" s="26" t="str">
        <x:v>https://uk.ecover.com/refill-ecover-over/</x:v>
      </x:c>
    </x:row>
    <x:row r="101" ht="95" customHeight="1">
      <x:c r="A101" s="26" t="str">
        <x:v>BP097</x:v>
      </x:c>
      <x:c r="B101" s="26" t="str">
        <x:v>ظرف آماده قابل تعویض</x:v>
      </x:c>
      <x:c r="C101" s="26" t="str">
        <x:v>محصول ریفیل</x:v>
      </x:c>
      <x:c r="D101" s="26" t="str">
        <x:v>RF-P15</x:v>
      </x:c>
      <x:c r="E101" s="26" t="str">
        <x:v>بنچمارک مستقیم ایرانی در مجموعه احراز نشد</x:v>
      </x:c>
      <x:c r="F101" s="26" t="str">
        <x:v>بنچمارک مستقیم تثبیت نشده</x:v>
      </x:c>
      <x:c r="G101" s="26" t="str">
        <x:v>نیازمند استعلام هم‌دامنه</x:v>
      </x:c>
      <x:c r="H101" s="26" t="str">
        <x:v>rf-s011؛ آغاز پایلوت بسته‌بندی برگشت‌پذیر Ocado</x:v>
      </x:c>
      <x:c r="I101" s="26" t="str">
        <x:v>قیمت عمومی هم‌دامنه ثبت نشده</x:v>
      </x:c>
      <x:c r="J101" s="26" t="str">
        <x:v>تأمین‌کننده پلمب، ودیعه، برگشت، نظافت و قرنطینه</x:v>
      </x:c>
      <x:c r="K101" s="26" t="str">
        <x:v>نامربوط/نامشخص</x:v>
      </x:c>
      <x:c r="L101" s="50"/>
      <x:c r="M101" s="50"/>
      <x:c r="N101" s="70" t="str">
        <x:f>IF(L101="","",L101*'مدل هزینه'!$B$6/1000000)</x:f>
      </x:c>
      <x:c r="O101" s="70" t="str">
        <x:f>IF(M101="","",M101*'مدل هزینه'!$B$8/1000000)</x:f>
      </x:c>
      <x:c r="P101" s="26" t="str">
        <x:v>قیمت عمده/خرده، ماده فعال، بسته‌بندی و واحد باید هم‌تعریف باشند؛ قیمت استعلام نشده و صفر نیست.</x:v>
      </x:c>
      <x:c r="Q101" s="26" t="str">
        <x:v>https://ocadoretail.com/media-centre/press-releases/ocado-retail-uk-refill-coalition-launch-first-major-online-reusable-packaging-scheme-to-reduce-single-use-plastics/</x:v>
      </x:c>
    </x:row>
    <x:row r="102" ht="95" customHeight="1">
      <x:c r="A102" s="26" t="str">
        <x:v>BP098</x:v>
      </x:c>
      <x:c r="B102" s="26" t="str">
        <x:v>شارژ کارخانه‌ای قرصی یا کنسانتره</x:v>
      </x:c>
      <x:c r="C102" s="26" t="str">
        <x:v>محصول ریفیل</x:v>
      </x:c>
      <x:c r="D102" s="26" t="str">
        <x:v>RF-P16</x:v>
      </x:c>
      <x:c r="E102" s="26" t="str">
        <x:v>بنچمارک مستقیم ایرانی در مجموعه احراز نشد</x:v>
      </x:c>
      <x:c r="F102" s="26" t="str">
        <x:v>بنچمارک مستقیم تثبیت نشده</x:v>
      </x:c>
      <x:c r="G102" s="26" t="str">
        <x:v>نیازمند استعلام هم‌دامنه</x:v>
      </x:c>
      <x:c r="H102" s="26" t="str">
        <x:v>rf-s013؛ کیت بطری و قرص جایگزین Blueland</x:v>
      </x:c>
      <x:c r="I102" s="26" t="str">
        <x:v>قیمت عمومی هم‌دامنه ثبت نشده</x:v>
      </x:c>
      <x:c r="J102" s="26" t="str">
        <x:v>محصول کارخانه‌ای با دستور معتبر؛ تولید یا رقیق‌سازی در شعبه پیشنهاد نیست</x:v>
      </x:c>
      <x:c r="K102" s="26" t="str">
        <x:v>نامربوط/نامشخص</x:v>
      </x:c>
      <x:c r="L102" s="50"/>
      <x:c r="M102" s="50"/>
      <x:c r="N102" s="70" t="str">
        <x:f>IF(L102="","",L102*'مدل هزینه'!$B$6/1000000)</x:f>
      </x:c>
      <x:c r="O102" s="70" t="str">
        <x:f>IF(M102="","",M102*'مدل هزینه'!$B$8/1000000)</x:f>
      </x:c>
      <x:c r="P102" s="26" t="str">
        <x:v>قیمت عمده/خرده، ماده فعال، بسته‌بندی و واحد باید هم‌تعریف باشند؛ قیمت استعلام نشده و صفر نیست.</x:v>
      </x:c>
      <x:c r="Q102" s="26" t="str">
        <x:v>https://www.blueland.com/products/the-clean-essentials</x:v>
      </x:c>
    </x:row>
    <x:row r="103" ht="95" customHeight="1">
      <x:c r="A103" s="26" t="str">
        <x:v>BP099</x:v>
      </x:c>
      <x:c r="B103" s="26" t="str">
        <x:v>شوینده جامد و صابون</x:v>
      </x:c>
      <x:c r="C103" s="26" t="str">
        <x:v>محصول ریفیل</x:v>
      </x:c>
      <x:c r="D103" s="26" t="str">
        <x:v>RF-P17</x:v>
      </x:c>
      <x:c r="E103" s="26" t="str">
        <x:v>بنچمارک مستقیم ایرانی در مجموعه احراز نشد</x:v>
      </x:c>
      <x:c r="F103" s="26" t="str">
        <x:v>بنچمارک مستقیم تثبیت نشده</x:v>
      </x:c>
      <x:c r="G103" s="26" t="str">
        <x:v>نیازمند استعلام هم‌دامنه</x:v>
      </x:c>
      <x:c r="H103" s="26" t="str">
        <x:v>rf-s013؛ کیت بطری و قرص جایگزین Blueland</x:v>
      </x:c>
      <x:c r="I103" s="26" t="str">
        <x:v>قیمت عمومی هم‌دامنه ثبت نشده</x:v>
      </x:c>
      <x:c r="J103" s="26" t="str">
        <x:v>ادعا و مجوز محصول؛ ریفیل مایع نیست</x:v>
      </x:c>
      <x:c r="K103" s="26" t="str">
        <x:v>نامربوط/نامشخص</x:v>
      </x:c>
      <x:c r="L103" s="50"/>
      <x:c r="M103" s="50"/>
      <x:c r="N103" s="70" t="str">
        <x:f>IF(L103="","",L103*'مدل هزینه'!$B$6/1000000)</x:f>
      </x:c>
      <x:c r="O103" s="70" t="str">
        <x:f>IF(M103="","",M103*'مدل هزینه'!$B$8/1000000)</x:f>
      </x:c>
      <x:c r="P103" s="26" t="str">
        <x:v>قیمت عمده/خرده، ماده فعال، بسته‌بندی و واحد باید هم‌تعریف باشند؛ قیمت استعلام نشده و صفر نیست.</x:v>
      </x:c>
      <x:c r="Q103" s="26" t="str">
        <x:v>https://www.blueland.com/products/the-clean-essentials</x:v>
      </x:c>
    </x:row>
    <x:row r="104" ht="95" customHeight="1">
      <x:c r="A104" s="26" t="str">
        <x:v>BP100</x:v>
      </x:c>
      <x:c r="B104" s="26" t="str">
        <x:v>دستمال و اقلام مکمل بسته‌ای</x:v>
      </x:c>
      <x:c r="C104" s="26" t="str">
        <x:v>محصول ریفیل</x:v>
      </x:c>
      <x:c r="D104" s="26" t="str">
        <x:v>RF-P18</x:v>
      </x:c>
      <x:c r="E104" s="26" t="str">
        <x:v>عرضه/نمونه مرتبط؛ استقرار فامیلی تأیید نشده</x:v>
      </x:c>
      <x:c r="F104" s="26" t="str">
        <x:v>گرین‌چی — کاتالوگ گرین‌چی</x:v>
      </x:c>
      <x:c r="G104" s="26" t="str">
        <x:v>نیازمند استعلام هم‌دامنه</x:v>
      </x:c>
      <x:c r="H104" s="26" t="str">
        <x:v>شکاف پژوهشی</x:v>
      </x:c>
      <x:c r="I104" s="26" t="str">
        <x:v>قیمت عمومی هم‌دامنه ثبت نشده</x:v>
      </x:c>
      <x:c r="J104" s="26" t="str">
        <x:v>مکمل بسته‌بندی‌شده؛ با ریفیل از نظر شمارش و اثر متفاوت</x:v>
      </x:c>
      <x:c r="K104" s="26" t="str">
        <x:v>نامربوط/نامشخص</x:v>
      </x:c>
      <x:c r="L104" s="50"/>
      <x:c r="M104" s="50"/>
      <x:c r="N104" s="70" t="str">
        <x:f>IF(L104="","",L104*'مدل هزینه'!$B$6/1000000)</x:f>
      </x:c>
      <x:c r="O104" s="70" t="str">
        <x:f>IF(M104="","",M104*'مدل هزینه'!$B$8/1000000)</x:f>
      </x:c>
      <x:c r="P104" s="26" t="str">
        <x:v>قیمت عمده/خرده، ماده فعال، بسته‌بندی و واحد باید هم‌تعریف باشند؛ قیمت استعلام نشده و صفر نیست.</x:v>
      </x:c>
      <x:c r="Q104" s="26" t="str">
        <x:v>https://greenchimarket.co/products.php</x:v>
      </x:c>
    </x:row>
    <x:row r="105" ht="95" customHeight="1">
      <x:c r="A105" s="26" t="str">
        <x:v>BP101</x:v>
      </x:c>
      <x:c r="B105" s="26" t="str">
        <x:v>غذای خشک ریفیل مستقل</x:v>
      </x:c>
      <x:c r="C105" s="26" t="str">
        <x:v>محصول ریفیل</x:v>
      </x:c>
      <x:c r="D105" s="26" t="str">
        <x:v>RF-P19</x:v>
      </x:c>
      <x:c r="E105" s="26" t="str">
        <x:v>بنچمارک مستقیم ایرانی در مجموعه احراز نشد</x:v>
      </x:c>
      <x:c r="F105" s="26" t="str">
        <x:v>بنچمارک مستقیم تثبیت نشده</x:v>
      </x:c>
      <x:c r="G105" s="26" t="str">
        <x:v>نیازمند استعلام هم‌دامنه</x:v>
      </x:c>
      <x:c r="H105" s="26" t="str">
        <x:v>rf-s009؛ MIWA و dm؛ فروش وزنی غذای خشک</x:v>
      </x:c>
      <x:c r="I105" s="26" t="str">
        <x:v>قیمت عمومی هم‌دامنه ثبت نشده</x:v>
      </x:c>
      <x:c r="J105" s="26" t="str">
        <x:v>فضا/ابزار/بهداشت غذایی مستقل از مواد شوینده</x:v>
      </x:c>
      <x:c r="K105" s="26" t="str">
        <x:v>نامربوط/نامشخص</x:v>
      </x:c>
      <x:c r="L105" s="50"/>
      <x:c r="M105" s="50"/>
      <x:c r="N105" s="70" t="str">
        <x:f>IF(L105="","",L105*'مدل هزینه'!$B$6/1000000)</x:f>
      </x:c>
      <x:c r="O105" s="70" t="str">
        <x:f>IF(M105="","",M105*'مدل هزینه'!$B$8/1000000)</x:f>
      </x:c>
      <x:c r="P105" s="26" t="str">
        <x:v>قیمت عمده/خرده، ماده فعال، بسته‌بندی و واحد باید هم‌تعریف باشند؛ قیمت استعلام نشده و صفر نیست.</x:v>
      </x:c>
      <x:c r="Q105" s="26" t="str">
        <x:v>https://www.miwa.eu/news/our-partners/miwa-partners-with-dm-to-launch-refill-revolution-in-germany</x:v>
      </x:c>
    </x:row>
    <x:row r="106" ht="95" customHeight="1">
      <x:c r="A106" s="26" t="str">
        <x:v>BP102</x:v>
      </x:c>
      <x:c r="B106" s="26" t="str">
        <x:v>بسته ریفیل سازمانی ۵ یا۱۰لیتر</x:v>
      </x:c>
      <x:c r="C106" s="26" t="str">
        <x:v>محصول ریفیل</x:v>
      </x:c>
      <x:c r="D106" s="26" t="str">
        <x:v>RF-P20</x:v>
      </x:c>
      <x:c r="E106" s="26" t="str">
        <x:v>بنچمارک مستقیم ایرانی در مجموعه احراز نشد</x:v>
      </x:c>
      <x:c r="F106" s="26" t="str">
        <x:v>بنچمارک مستقیم تثبیت نشده</x:v>
      </x:c>
      <x:c r="G106" s="26" t="str">
        <x:v>نیازمند استعلام هم‌دامنه</x:v>
      </x:c>
      <x:c r="H106" s="26" t="str">
        <x:v>rf-s010؛ Refill Coalition؛ ظرف عمده برگشت‌پذیر و تحویل خانگی</x:v>
      </x:c>
      <x:c r="I106" s="26" t="str">
        <x:v>قیمت عمومی هم‌دامنه ثبت نشده</x:v>
      </x:c>
      <x:c r="J106" s="26" t="str">
        <x:v>ظرف حمل معتبر و قرارداد/تحویل؛ عدد حجم فقط سناریوی بسته است</x:v>
      </x:c>
      <x:c r="K106" s="26" t="str">
        <x:v>نامربوط/نامشخص</x:v>
      </x:c>
      <x:c r="L106" s="50"/>
      <x:c r="M106" s="50"/>
      <x:c r="N106" s="70" t="str">
        <x:f>IF(L106="","",L106*'مدل هزینه'!$B$6/1000000)</x:f>
      </x:c>
      <x:c r="O106" s="70" t="str">
        <x:f>IF(M106="","",M106*'مدل هزینه'!$B$8/1000000)</x:f>
      </x:c>
      <x:c r="P106" s="26" t="str">
        <x:v>قیمت عمده/خرده، ماده فعال، بسته‌بندی و واحد باید هم‌تعریف باشند؛ قیمت استعلام نشده و صفر نیست.</x:v>
      </x:c>
      <x:c r="Q106" s="26" t="str">
        <x:v>https://gounpackaged.com/refill-coalition</x:v>
      </x:c>
    </x:row>
  </x:sheetData>
  <x:mergeCells>
    <x:mergeCell ref="A1:Q1"/>
    <x:mergeCell ref="A2:Q2"/>
  </x:mergeCells>
  <x:pageMargins left="0.7" right="0.7" top="0.75" bottom="0.75" header="0.3" footer="0.3"/>
  <x:tableParts count="1">
    <x:tablePart xmlns:r="http://schemas.openxmlformats.org/officeDocument/2006/relationships" r:id="Raa4e64847ca7449e"/>
  </x:tableParts>
</x:worksheet>
</file>

<file path=xl/worksheets/sheet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2" hidden="0" customWidth="1"/>
    <x:col min="2" max="2" width="14" hidden="0" customWidth="1"/>
    <x:col min="3" max="3" width="25" hidden="0" customWidth="1"/>
    <x:col min="4" max="4" width="39" hidden="0" customWidth="1"/>
    <x:col min="5" max="5" width="20" hidden="0" customWidth="1"/>
    <x:col min="6" max="6" width="20" hidden="0" customWidth="1"/>
    <x:col min="7" max="7" width="22" hidden="0" customWidth="1"/>
    <x:col min="8" max="8" width="22" hidden="0" customWidth="1"/>
    <x:col min="9" max="9" width="41" hidden="0" customWidth="1"/>
    <x:col min="10" max="10" width="35" hidden="0" customWidth="1"/>
    <x:col min="11" max="11" width="35" hidden="0" customWidth="1"/>
    <x:col min="12" max="12" width="40" hidden="0" customWidth="1"/>
    <x:col min="13" max="13" width="51" hidden="0" customWidth="1"/>
    <x:col min="14" max="14" width="55" hidden="0" customWidth="1"/>
    <x:col min="15" max="15" width="20" hidden="0" customWidth="1"/>
    <x:col min="16" max="16" width="24" hidden="0" customWidth="1"/>
  </x:cols>
  <x:sheetData>
    <x:row r="1" ht="34" customHeight="1">
      <x:c r="A1" s="9" t="str">
        <x:v>۶۷ مشاهده قیمت — نه ۶۷ پیشنهاد هم‌ارز و آماده خرید</x:v>
      </x:c>
      <x:c r="B1" s="9"/>
      <x:c r="C1" s="9"/>
      <x:c r="D1" s="9"/>
      <x:c r="E1" s="9"/>
      <x:c r="F1" s="9"/>
      <x:c r="G1" s="9"/>
      <x:c r="H1" s="9"/>
      <x:c r="I1" s="9"/>
      <x:c r="J1" s="9"/>
      <x:c r="K1" s="9"/>
      <x:c r="L1" s="9"/>
      <x:c r="M1" s="9"/>
      <x:c r="N1" s="9"/>
      <x:c r="O1" s="9"/>
      <x:c r="P1" s="9"/>
    </x:row>
    <x:row r="2" ht="42" customHeight="1">
      <x:c r="A2" s="14" t="str">
        <x:v>هر ردیف به منبع خود برمی‌گردد. نوع ارز، واحد، تعهد پرداخت و شاملات را پیش از مقایسه برابر کنید؛ قیمت کمینه/بیشینه برای مدل یکسان است مگر صریحاً بازه باشد.</x:v>
      </x:c>
      <x:c r="B2" s="14"/>
      <x:c r="C2" s="14"/>
      <x:c r="D2" s="14"/>
      <x:c r="E2" s="14"/>
      <x:c r="F2" s="14"/>
      <x:c r="G2" s="14"/>
      <x:c r="H2" s="14"/>
      <x:c r="I2" s="14"/>
      <x:c r="J2" s="14"/>
      <x:c r="K2" s="14"/>
      <x:c r="L2" s="14"/>
      <x:c r="M2" s="14"/>
      <x:c r="N2" s="14"/>
      <x:c r="O2" s="14"/>
      <x:c r="P2" s="14"/>
    </x:row>
    <x:row r="3">
      <x:c r="A3" s="6"/>
      <x:c r="B3" s="6"/>
      <x:c r="C3" s="6"/>
      <x:c r="D3" s="6"/>
      <x:c r="E3" s="6"/>
      <x:c r="F3" s="6"/>
      <x:c r="G3" s="6"/>
      <x:c r="H3" s="6"/>
      <x:c r="I3" s="6"/>
      <x:c r="J3" s="6"/>
      <x:c r="K3" s="6"/>
      <x:c r="L3" s="6"/>
      <x:c r="M3" s="6"/>
      <x:c r="N3" s="6"/>
      <x:c r="O3" s="6"/>
      <x:c r="P3" s="6"/>
    </x:row>
    <x:row r="4" ht="42" customHeight="1">
      <x:c r="A4" s="21" t="str">
        <x:v>شناسه</x:v>
      </x:c>
      <x:c r="B4" s="21" t="str">
        <x:v>بازار</x:v>
      </x:c>
      <x:c r="C4" s="21" t="str">
        <x:v>ناشر/فروشنده</x:v>
      </x:c>
      <x:c r="D4" s="21" t="str">
        <x:v>مدل یا پلن</x:v>
      </x:c>
      <x:c r="E4" s="21" t="str">
        <x:v>مبلغ کمینه</x:v>
      </x:c>
      <x:c r="F4" s="21" t="str">
        <x:v>مبلغ بیشینه</x:v>
      </x:c>
      <x:c r="G4" s="21" t="str">
        <x:v>ارز</x:v>
      </x:c>
      <x:c r="H4" s="21" t="str">
        <x:v>واحد</x:v>
      </x:c>
      <x:c r="I4" s="21" t="str">
        <x:v>شرط صورتحساب</x:v>
      </x:c>
      <x:c r="J4" s="21" t="str">
        <x:v>دامنه قیمت</x:v>
      </x:c>
      <x:c r="K4" s="21" t="str">
        <x:v>وضعیت شاهد</x:v>
      </x:c>
      <x:c r="L4" s="21" t="str">
        <x:v>موجودی/شرایط</x:v>
      </x:c>
      <x:c r="M4" s="21" t="str">
        <x:v>خارج از دامنه یا نامعلوم</x:v>
      </x:c>
      <x:c r="N4" s="21" t="str">
        <x:v>نشانی اصلی</x:v>
      </x:c>
      <x:c r="O4" s="21" t="str">
        <x:v>تاریخ مشاهده</x:v>
      </x:c>
      <x:c r="P4" s="21" t="str">
        <x:v>مقدار خام متنی</x:v>
      </x:c>
    </x:row>
    <x:row r="5" ht="90" customHeight="1">
      <x:c r="A5" s="26" t="str">
        <x:v>PQ001</x:v>
      </x:c>
      <x:c r="B5" s="26" t="str">
        <x:v>ایران</x:v>
      </x:c>
      <x:c r="C5" s="26" t="str">
        <x:v>پایاپارس</x:v>
      </x:c>
      <x:c r="D5" s="26" t="str">
        <x:v>وندینگ پاپ‌کورن معمولی</x:v>
      </x:c>
      <x:c r="E5" s="56" t="n">
        <x:v>780000000</x:v>
      </x:c>
      <x:c r="F5" s="56" t="n">
        <x:v>780000000</x:v>
      </x:c>
      <x:c r="G5" s="26" t="str">
        <x:v>تومان</x:v>
      </x:c>
      <x:c r="H5" s="26" t="str">
        <x:v>دستگاه</x:v>
      </x:c>
      <x:c r="I5" s="26" t="str">
        <x:v>خرید یک‌باره؛ قرارداد نهایی بررسی نشده</x:v>
      </x:c>
      <x:c r="J5" s="26" t="str">
        <x:v>تجهیز معرفی‌شده</x:v>
      </x:c>
      <x:c r="K5" s="26" t="str">
        <x:v>قیمت عمومی مشاهده‌شده</x:v>
      </x:c>
      <x:c r="L5" s="26" t="str">
        <x:v>تأیید مستقل موجودی انجام نشده</x:v>
      </x:c>
      <x:c r="M5" s="26" t="str">
        <x:v>حمل، نصب، اتصال، مالیات و پشتیبانیِ پروژه احراز نشده‌اند.</x:v>
      </x:c>
      <x:c r="N5" s="26" t="str">
        <x:v>https://payapars.com/shop/page/2/</x:v>
      </x:c>
      <x:c r="O5" s="58" t="n">
        <x:v>46311</x:v>
      </x:c>
      <x:c r="P5" s="26" t="str">
        <x:v>780,000,000</x:v>
      </x:c>
    </x:row>
    <x:row r="6" ht="90" customHeight="1">
      <x:c r="A6" s="26" t="str">
        <x:v>PQ002</x:v>
      </x:c>
      <x:c r="B6" s="26" t="str">
        <x:v>ایران</x:v>
      </x:c>
      <x:c r="C6" s="26" t="str">
        <x:v>پایاپارس</x:v>
      </x:c>
      <x:c r="D6" s="26" t="str">
        <x:v>وندینگ پاپ‌کورن روبوتک</x:v>
      </x:c>
      <x:c r="E6" s="56" t="n">
        <x:v>840000000</x:v>
      </x:c>
      <x:c r="F6" s="56" t="n">
        <x:v>840000000</x:v>
      </x:c>
      <x:c r="G6" s="26" t="str">
        <x:v>تومان</x:v>
      </x:c>
      <x:c r="H6" s="26" t="str">
        <x:v>دستگاه</x:v>
      </x:c>
      <x:c r="I6" s="26" t="str">
        <x:v>خرید یک‌باره؛ قرارداد نهایی بررسی نشده</x:v>
      </x:c>
      <x:c r="J6" s="26" t="str">
        <x:v>تجهیز معرفی‌شده</x:v>
      </x:c>
      <x:c r="K6" s="26" t="str">
        <x:v>قیمت عمومی مشاهده‌شده</x:v>
      </x:c>
      <x:c r="L6" s="26" t="str">
        <x:v>تأیید مستقل موجودی انجام نشده</x:v>
      </x:c>
      <x:c r="M6" s="26" t="str">
        <x:v>حمل، نصب، اتصال، مالیات و پشتیبانیِ پروژه احراز نشده‌اند.</x:v>
      </x:c>
      <x:c r="N6" s="26" t="str">
        <x:v>https://payapars.com/shop/page/2/</x:v>
      </x:c>
      <x:c r="O6" s="58" t="n">
        <x:v>46311</x:v>
      </x:c>
      <x:c r="P6" s="26" t="str">
        <x:v>840,000,000</x:v>
      </x:c>
    </x:row>
    <x:row r="7" ht="90" customHeight="1">
      <x:c r="A7" s="26" t="str">
        <x:v>PQ003</x:v>
      </x:c>
      <x:c r="B7" s="26" t="str">
        <x:v>ایران</x:v>
      </x:c>
      <x:c r="C7" s="26" t="str">
        <x:v>پایاپارس</x:v>
      </x:c>
      <x:c r="D7" s="26" t="str">
        <x:v>وندینگ تولید پشمک</x:v>
      </x:c>
      <x:c r="E7" s="56" t="n">
        <x:v>1480000000</x:v>
      </x:c>
      <x:c r="F7" s="56" t="n">
        <x:v>1480000000</x:v>
      </x:c>
      <x:c r="G7" s="26" t="str">
        <x:v>تومان</x:v>
      </x:c>
      <x:c r="H7" s="26" t="str">
        <x:v>دستگاه</x:v>
      </x:c>
      <x:c r="I7" s="26" t="str">
        <x:v>خرید یک‌باره؛ قرارداد نهایی بررسی نشده</x:v>
      </x:c>
      <x:c r="J7" s="26" t="str">
        <x:v>تجهیز معرفی‌شده</x:v>
      </x:c>
      <x:c r="K7" s="26" t="str">
        <x:v>قیمت عمومی مشاهده‌شده</x:v>
      </x:c>
      <x:c r="L7" s="26" t="str">
        <x:v>تأیید مستقل موجودی انجام نشده</x:v>
      </x:c>
      <x:c r="M7" s="26" t="str">
        <x:v>حمل، نصب، اتصال، مالیات و پشتیبانیِ پروژه احراز نشده‌اند.</x:v>
      </x:c>
      <x:c r="N7" s="26" t="str">
        <x:v>https://payapars.com/shop/page/2/</x:v>
      </x:c>
      <x:c r="O7" s="58" t="n">
        <x:v>46311</x:v>
      </x:c>
      <x:c r="P7" s="26" t="str">
        <x:v>1,480,000,000</x:v>
      </x:c>
    </x:row>
    <x:row r="8" ht="90" customHeight="1">
      <x:c r="A8" s="26" t="str">
        <x:v>PQ004</x:v>
      </x:c>
      <x:c r="B8" s="26" t="str">
        <x:v>ایران</x:v>
      </x:c>
      <x:c r="C8" s="26" t="str">
        <x:v>پایاپارس</x:v>
      </x:c>
      <x:c r="D8" s="26" t="str">
        <x:v>وندینگ پیتزا و پیراشکی فودسیتی</x:v>
      </x:c>
      <x:c r="E8" s="56" t="n">
        <x:v>1890000000</x:v>
      </x:c>
      <x:c r="F8" s="56" t="n">
        <x:v>1890000000</x:v>
      </x:c>
      <x:c r="G8" s="26" t="str">
        <x:v>تومان</x:v>
      </x:c>
      <x:c r="H8" s="26" t="str">
        <x:v>دستگاه</x:v>
      </x:c>
      <x:c r="I8" s="26" t="str">
        <x:v>خرید یک‌باره؛ قرارداد نهایی بررسی نشده</x:v>
      </x:c>
      <x:c r="J8" s="26" t="str">
        <x:v>تجهیز معرفی‌شده</x:v>
      </x:c>
      <x:c r="K8" s="26" t="str">
        <x:v>قیمت عمومی مشاهده‌شده</x:v>
      </x:c>
      <x:c r="L8" s="26" t="str">
        <x:v>تأیید مستقل موجودی انجام نشده</x:v>
      </x:c>
      <x:c r="M8" s="26" t="str">
        <x:v>حمل، نصب، اتصال، مالیات و پشتیبانیِ پروژه احراز نشده‌اند.</x:v>
      </x:c>
      <x:c r="N8" s="26" t="str">
        <x:v>https://payapars.com/shop/page/2/</x:v>
      </x:c>
      <x:c r="O8" s="58" t="n">
        <x:v>46311</x:v>
      </x:c>
      <x:c r="P8" s="26" t="str">
        <x:v>1,890,000,000</x:v>
      </x:c>
    </x:row>
    <x:row r="9" ht="90" customHeight="1">
      <x:c r="A9" s="26" t="str">
        <x:v>PQ005</x:v>
      </x:c>
      <x:c r="B9" s="26" t="str">
        <x:v>ایران</x:v>
      </x:c>
      <x:c r="C9" s="26" t="str">
        <x:v>پایاپارس</x:v>
      </x:c>
      <x:c r="D9" s="26" t="str">
        <x:v>وندینگ دلیمانجو</x:v>
      </x:c>
      <x:c r="E9" s="56" t="n">
        <x:v>750000000</x:v>
      </x:c>
      <x:c r="F9" s="56" t="n">
        <x:v>750000000</x:v>
      </x:c>
      <x:c r="G9" s="26" t="str">
        <x:v>تومان</x:v>
      </x:c>
      <x:c r="H9" s="26" t="str">
        <x:v>دستگاه</x:v>
      </x:c>
      <x:c r="I9" s="26" t="str">
        <x:v>خرید یک‌باره؛ قرارداد نهایی بررسی نشده</x:v>
      </x:c>
      <x:c r="J9" s="26" t="str">
        <x:v>تجهیز معرفی‌شده</x:v>
      </x:c>
      <x:c r="K9" s="26" t="str">
        <x:v>قیمت عمومی مشاهده‌شده</x:v>
      </x:c>
      <x:c r="L9" s="26" t="str">
        <x:v>تأیید مستقل موجودی انجام نشده</x:v>
      </x:c>
      <x:c r="M9" s="26" t="str">
        <x:v>حمل، نصب، اتصال، مالیات و پشتیبانیِ پروژه احراز نشده‌اند.</x:v>
      </x:c>
      <x:c r="N9" s="26" t="str">
        <x:v>https://payapars.com/shop/page/2/</x:v>
      </x:c>
      <x:c r="O9" s="58" t="n">
        <x:v>46311</x:v>
      </x:c>
      <x:c r="P9" s="26" t="str">
        <x:v>750,000,000</x:v>
      </x:c>
    </x:row>
    <x:row r="10" ht="90" customHeight="1">
      <x:c r="A10" s="26" t="str">
        <x:v>PQ006</x:v>
      </x:c>
      <x:c r="B10" s="26" t="str">
        <x:v>ایران</x:v>
      </x:c>
      <x:c r="C10" s="26" t="str">
        <x:v>پایاپارس</x:v>
      </x:c>
      <x:c r="D10" s="26" t="str">
        <x:v>وندینگ سیب‌زمینی</x:v>
      </x:c>
      <x:c r="E10" s="56" t="n">
        <x:v>730000000</x:v>
      </x:c>
      <x:c r="F10" s="56" t="n">
        <x:v>730000000</x:v>
      </x:c>
      <x:c r="G10" s="26" t="str">
        <x:v>تومان</x:v>
      </x:c>
      <x:c r="H10" s="26" t="str">
        <x:v>دستگاه</x:v>
      </x:c>
      <x:c r="I10" s="26" t="str">
        <x:v>خرید یک‌باره؛ قرارداد نهایی بررسی نشده</x:v>
      </x:c>
      <x:c r="J10" s="26" t="str">
        <x:v>تجهیز معرفی‌شده</x:v>
      </x:c>
      <x:c r="K10" s="26" t="str">
        <x:v>قیمت عمومی مشاهده‌شده</x:v>
      </x:c>
      <x:c r="L10" s="26" t="str">
        <x:v>تأیید مستقل موجودی انجام نشده</x:v>
      </x:c>
      <x:c r="M10" s="26" t="str">
        <x:v>حمل، نصب، اتصال، مالیات و پشتیبانیِ پروژه احراز نشده‌اند.</x:v>
      </x:c>
      <x:c r="N10" s="26" t="str">
        <x:v>https://payapars.com/shop/page/2/</x:v>
      </x:c>
      <x:c r="O10" s="58" t="n">
        <x:v>46311</x:v>
      </x:c>
      <x:c r="P10" s="26" t="str">
        <x:v>730,000,000</x:v>
      </x:c>
    </x:row>
    <x:row r="11" ht="90" customHeight="1">
      <x:c r="A11" s="26" t="str">
        <x:v>PQ007</x:v>
      </x:c>
      <x:c r="B11" s="26" t="str">
        <x:v>ایران</x:v>
      </x:c>
      <x:c r="C11" s="26" t="str">
        <x:v>پایاپارس</x:v>
      </x:c>
      <x:c r="D11" s="26" t="str">
        <x:v>فروش بسته‌های آرایشی و بهداشتی</x:v>
      </x:c>
      <x:c r="E11" s="56" t="n">
        <x:v>195000000</x:v>
      </x:c>
      <x:c r="F11" s="56" t="n">
        <x:v>195000000</x:v>
      </x:c>
      <x:c r="G11" s="26" t="str">
        <x:v>تومان</x:v>
      </x:c>
      <x:c r="H11" s="26" t="str">
        <x:v>دستگاه</x:v>
      </x:c>
      <x:c r="I11" s="26" t="str">
        <x:v>خرید یک‌باره؛ قرارداد نهایی بررسی نشده</x:v>
      </x:c>
      <x:c r="J11" s="26" t="str">
        <x:v>تجهیز معرفی‌شده</x:v>
      </x:c>
      <x:c r="K11" s="26" t="str">
        <x:v>قیمت عمومی مشاهده‌شده</x:v>
      </x:c>
      <x:c r="L11" s="26" t="str">
        <x:v>تأیید مستقل موجودی انجام نشده</x:v>
      </x:c>
      <x:c r="M11" s="26" t="str">
        <x:v>حمل، نصب، اتصال، مالیات و پشتیبانیِ پروژه احراز نشده‌اند.</x:v>
      </x:c>
      <x:c r="N11" s="26" t="str">
        <x:v>https://payapars.com/shop/page/2/</x:v>
      </x:c>
      <x:c r="O11" s="58" t="n">
        <x:v>46311</x:v>
      </x:c>
      <x:c r="P11" s="26" t="str">
        <x:v>195,000,000</x:v>
      </x:c>
    </x:row>
    <x:row r="12" ht="90" customHeight="1">
      <x:c r="A12" s="26" t="str">
        <x:v>PQ008</x:v>
      </x:c>
      <x:c r="B12" s="26" t="str">
        <x:v>ایران</x:v>
      </x:c>
      <x:c r="C12" s="26" t="str">
        <x:v>پایاپارس</x:v>
      </x:c>
      <x:c r="D12" s="26" t="str">
        <x:v>وندینگ اسلیم دیواری</x:v>
      </x:c>
      <x:c r="E12" s="56" t="n">
        <x:v>225000000</x:v>
      </x:c>
      <x:c r="F12" s="56" t="n">
        <x:v>225000000</x:v>
      </x:c>
      <x:c r="G12" s="26" t="str">
        <x:v>تومان</x:v>
      </x:c>
      <x:c r="H12" s="26" t="str">
        <x:v>دستگاه</x:v>
      </x:c>
      <x:c r="I12" s="26" t="str">
        <x:v>خرید یک‌باره؛ قرارداد نهایی بررسی نشده</x:v>
      </x:c>
      <x:c r="J12" s="26" t="str">
        <x:v>تجهیز معرفی‌شده</x:v>
      </x:c>
      <x:c r="K12" s="26" t="str">
        <x:v>قیمت عمومی مشاهده‌شده</x:v>
      </x:c>
      <x:c r="L12" s="26" t="str">
        <x:v>تأیید مستقل موجودی انجام نشده</x:v>
      </x:c>
      <x:c r="M12" s="26" t="str">
        <x:v>حمل، نصب، اتصال، مالیات و پشتیبانیِ پروژه احراز نشده‌اند.</x:v>
      </x:c>
      <x:c r="N12" s="26" t="str">
        <x:v>https://payapars.com/shop/page/2/</x:v>
      </x:c>
      <x:c r="O12" s="58" t="n">
        <x:v>46311</x:v>
      </x:c>
      <x:c r="P12" s="26" t="str">
        <x:v>225,000,000</x:v>
      </x:c>
    </x:row>
    <x:row r="13" ht="90" customHeight="1">
      <x:c r="A13" s="26" t="str">
        <x:v>PQ009</x:v>
      </x:c>
      <x:c r="B13" s="26" t="str">
        <x:v>ایران</x:v>
      </x:c>
      <x:c r="C13" s="26" t="str">
        <x:v>پایاپارس</x:v>
      </x:c>
      <x:c r="D13" s="26" t="str">
        <x:v>وندینگ کافی‌من</x:v>
      </x:c>
      <x:c r="E13" s="56" t="n">
        <x:v>1140000000</x:v>
      </x:c>
      <x:c r="F13" s="56" t="n">
        <x:v>1140000000</x:v>
      </x:c>
      <x:c r="G13" s="26" t="str">
        <x:v>تومان</x:v>
      </x:c>
      <x:c r="H13" s="26" t="str">
        <x:v>دستگاه</x:v>
      </x:c>
      <x:c r="I13" s="26" t="str">
        <x:v>خرید یک‌باره؛ قرارداد نهایی بررسی نشده</x:v>
      </x:c>
      <x:c r="J13" s="26" t="str">
        <x:v>تجهیز معرفی‌شده</x:v>
      </x:c>
      <x:c r="K13" s="26" t="str">
        <x:v>قیمت عمومی مشاهده‌شده</x:v>
      </x:c>
      <x:c r="L13" s="26" t="str">
        <x:v>تأیید مستقل موجودی انجام نشده</x:v>
      </x:c>
      <x:c r="M13" s="26" t="str">
        <x:v>حمل، نصب، اتصال، مالیات و پشتیبانیِ پروژه احراز نشده‌اند.</x:v>
      </x:c>
      <x:c r="N13" s="26" t="str">
        <x:v>https://payapars.com/shop/page/3/</x:v>
      </x:c>
      <x:c r="O13" s="58" t="n">
        <x:v>46311</x:v>
      </x:c>
      <x:c r="P13" s="26" t="str">
        <x:v>1,140,000,000</x:v>
      </x:c>
    </x:row>
    <x:row r="14" ht="90" customHeight="1">
      <x:c r="A14" s="26" t="str">
        <x:v>PQ010</x:v>
      </x:c>
      <x:c r="B14" s="26" t="str">
        <x:v>ایران</x:v>
      </x:c>
      <x:c r="C14" s="26" t="str">
        <x:v>پایاپارس</x:v>
      </x:c>
      <x:c r="D14" s="26" t="str">
        <x:v>وندینگ کافی‌استور</x:v>
      </x:c>
      <x:c r="E14" s="56" t="n">
        <x:v>1850000000</x:v>
      </x:c>
      <x:c r="F14" s="56" t="n">
        <x:v>1850000000</x:v>
      </x:c>
      <x:c r="G14" s="26" t="str">
        <x:v>تومان</x:v>
      </x:c>
      <x:c r="H14" s="26" t="str">
        <x:v>دستگاه</x:v>
      </x:c>
      <x:c r="I14" s="26" t="str">
        <x:v>خرید یک‌باره؛ قرارداد نهایی بررسی نشده</x:v>
      </x:c>
      <x:c r="J14" s="26" t="str">
        <x:v>تجهیز معرفی‌شده</x:v>
      </x:c>
      <x:c r="K14" s="26" t="str">
        <x:v>قیمت عمومی مشاهده‌شده</x:v>
      </x:c>
      <x:c r="L14" s="26" t="str">
        <x:v>تأیید مستقل موجودی انجام نشده</x:v>
      </x:c>
      <x:c r="M14" s="26" t="str">
        <x:v>حمل، نصب، اتصال، مالیات و پشتیبانیِ پروژه احراز نشده‌اند.</x:v>
      </x:c>
      <x:c r="N14" s="26" t="str">
        <x:v>https://payapars.com/shop/page/3/</x:v>
      </x:c>
      <x:c r="O14" s="58" t="n">
        <x:v>46311</x:v>
      </x:c>
      <x:c r="P14" s="26" t="str">
        <x:v>1,850,000,000</x:v>
      </x:c>
    </x:row>
    <x:row r="15" ht="90" customHeight="1">
      <x:c r="A15" s="26" t="str">
        <x:v>PQ011</x:v>
      </x:c>
      <x:c r="B15" s="26" t="str">
        <x:v>ایران</x:v>
      </x:c>
      <x:c r="C15" s="26" t="str">
        <x:v>پایاپارس</x:v>
      </x:c>
      <x:c r="D15" s="26" t="str">
        <x:v>وندینگ باریستا</x:v>
      </x:c>
      <x:c r="E15" s="56" t="n">
        <x:v>1350000000</x:v>
      </x:c>
      <x:c r="F15" s="56" t="n">
        <x:v>1350000000</x:v>
      </x:c>
      <x:c r="G15" s="26" t="str">
        <x:v>تومان</x:v>
      </x:c>
      <x:c r="H15" s="26" t="str">
        <x:v>دستگاه</x:v>
      </x:c>
      <x:c r="I15" s="26" t="str">
        <x:v>خرید یک‌باره؛ قرارداد نهایی بررسی نشده</x:v>
      </x:c>
      <x:c r="J15" s="26" t="str">
        <x:v>تجهیز معرفی‌شده</x:v>
      </x:c>
      <x:c r="K15" s="26" t="str">
        <x:v>قیمت عمومی مشاهده‌شده</x:v>
      </x:c>
      <x:c r="L15" s="26" t="str">
        <x:v>تأیید مستقل موجودی انجام نشده</x:v>
      </x:c>
      <x:c r="M15" s="26" t="str">
        <x:v>حمل، نصب، اتصال، مالیات و پشتیبانیِ پروژه احراز نشده‌اند.</x:v>
      </x:c>
      <x:c r="N15" s="26" t="str">
        <x:v>https://payapars.com/shop/page/3/</x:v>
      </x:c>
      <x:c r="O15" s="58" t="n">
        <x:v>46311</x:v>
      </x:c>
      <x:c r="P15" s="26" t="str">
        <x:v>1,350,000,000</x:v>
      </x:c>
    </x:row>
    <x:row r="16" ht="90" customHeight="1">
      <x:c r="A16" s="26" t="str">
        <x:v>PQ012</x:v>
      </x:c>
      <x:c r="B16" s="26" t="str">
        <x:v>ایران</x:v>
      </x:c>
      <x:c r="C16" s="26" t="str">
        <x:v>پایاپارس</x:v>
      </x:c>
      <x:c r="D16" s="26" t="str">
        <x:v>وندینگ آبمیوه مرکبات J2</x:v>
      </x:c>
      <x:c r="E16" s="56" t="n">
        <x:v>4800000000</x:v>
      </x:c>
      <x:c r="F16" s="56" t="n">
        <x:v>4800000000</x:v>
      </x:c>
      <x:c r="G16" s="26" t="str">
        <x:v>تومان</x:v>
      </x:c>
      <x:c r="H16" s="26" t="str">
        <x:v>دستگاه</x:v>
      </x:c>
      <x:c r="I16" s="26" t="str">
        <x:v>خرید یک‌باره؛ قرارداد نهایی بررسی نشده</x:v>
      </x:c>
      <x:c r="J16" s="26" t="str">
        <x:v>تجهیز معرفی‌شده</x:v>
      </x:c>
      <x:c r="K16" s="26" t="str">
        <x:v>قیمت عمومی مشاهده‌شده</x:v>
      </x:c>
      <x:c r="L16" s="26" t="str">
        <x:v>تأیید مستقل موجودی انجام نشده</x:v>
      </x:c>
      <x:c r="M16" s="26" t="str">
        <x:v>حمل، نصب، اتصال، مالیات و پشتیبانیِ پروژه احراز نشده‌اند.</x:v>
      </x:c>
      <x:c r="N16" s="26" t="str">
        <x:v>https://payapars.com/shop/page/3/</x:v>
      </x:c>
      <x:c r="O16" s="58" t="n">
        <x:v>46311</x:v>
      </x:c>
      <x:c r="P16" s="26" t="str">
        <x:v>4,800,000,000</x:v>
      </x:c>
    </x:row>
    <x:row r="17" ht="90" customHeight="1">
      <x:c r="A17" s="26" t="str">
        <x:v>PQ013</x:v>
      </x:c>
      <x:c r="B17" s="26" t="str">
        <x:v>ایران</x:v>
      </x:c>
      <x:c r="C17" s="26" t="str">
        <x:v>پایاپارس</x:v>
      </x:c>
      <x:c r="D17" s="26" t="str">
        <x:v>وندینگ بازیافت</x:v>
      </x:c>
      <x:c r="E17" s="56" t="n">
        <x:v>545000000</x:v>
      </x:c>
      <x:c r="F17" s="56" t="n">
        <x:v>545000000</x:v>
      </x:c>
      <x:c r="G17" s="26" t="str">
        <x:v>تومان</x:v>
      </x:c>
      <x:c r="H17" s="26" t="str">
        <x:v>دستگاه</x:v>
      </x:c>
      <x:c r="I17" s="26" t="str">
        <x:v>خرید یک‌باره؛ قرارداد نهایی بررسی نشده</x:v>
      </x:c>
      <x:c r="J17" s="26" t="str">
        <x:v>تجهیز معرفی‌شده</x:v>
      </x:c>
      <x:c r="K17" s="26" t="str">
        <x:v>قیمت عمومی مشاهده‌شده</x:v>
      </x:c>
      <x:c r="L17" s="26" t="str">
        <x:v>تأیید مستقل موجودی انجام نشده</x:v>
      </x:c>
      <x:c r="M17" s="26" t="str">
        <x:v>حمل، نصب، اتصال، مالیات و پشتیبانیِ پروژه احراز نشده‌اند.</x:v>
      </x:c>
      <x:c r="N17" s="26" t="str">
        <x:v>https://payapars.com/shop/page/3/</x:v>
      </x:c>
      <x:c r="O17" s="58" t="n">
        <x:v>46311</x:v>
      </x:c>
      <x:c r="P17" s="26" t="str">
        <x:v>545,000,000</x:v>
      </x:c>
    </x:row>
    <x:row r="18" ht="90" customHeight="1">
      <x:c r="A18" s="26" t="str">
        <x:v>PQ014</x:v>
      </x:c>
      <x:c r="B18" s="26" t="str">
        <x:v>ایران</x:v>
      </x:c>
      <x:c r="C18" s="26" t="str">
        <x:v>پایاپارس</x:v>
      </x:c>
      <x:c r="D18" s="26" t="str">
        <x:v>مینی‌هایپر ۳۶ کانال</x:v>
      </x:c>
      <x:c r="E18" s="56" t="n">
        <x:v>460000000</x:v>
      </x:c>
      <x:c r="F18" s="56" t="n">
        <x:v>460000000</x:v>
      </x:c>
      <x:c r="G18" s="26" t="str">
        <x:v>تومان</x:v>
      </x:c>
      <x:c r="H18" s="26" t="str">
        <x:v>دستگاه</x:v>
      </x:c>
      <x:c r="I18" s="26" t="str">
        <x:v>خرید یک‌باره؛ قرارداد نهایی بررسی نشده</x:v>
      </x:c>
      <x:c r="J18" s="26" t="str">
        <x:v>تجهیز معرفی‌شده</x:v>
      </x:c>
      <x:c r="K18" s="26" t="str">
        <x:v>قیمت عمومی مشاهده‌شده</x:v>
      </x:c>
      <x:c r="L18" s="26" t="str">
        <x:v>تأیید مستقل موجودی انجام نشده</x:v>
      </x:c>
      <x:c r="M18" s="26" t="str">
        <x:v>حمل، نصب، اتصال، مالیات و پشتیبانیِ پروژه احراز نشده‌اند.</x:v>
      </x:c>
      <x:c r="N18" s="26" t="str">
        <x:v>https://payapars.com/shop/page/3/</x:v>
      </x:c>
      <x:c r="O18" s="58" t="n">
        <x:v>46311</x:v>
      </x:c>
      <x:c r="P18" s="26" t="str">
        <x:v>460,000,000</x:v>
      </x:c>
    </x:row>
    <x:row r="19" ht="90" customHeight="1">
      <x:c r="A19" s="26" t="str">
        <x:v>PQ015</x:v>
      </x:c>
      <x:c r="B19" s="26" t="str">
        <x:v>ایران</x:v>
      </x:c>
      <x:c r="C19" s="26" t="str">
        <x:v>پایاپارس</x:v>
      </x:c>
      <x:c r="D19" s="26" t="str">
        <x:v>مینی‌هایپر ۴۸ کانال</x:v>
      </x:c>
      <x:c r="E19" s="56" t="n">
        <x:v>560000000</x:v>
      </x:c>
      <x:c r="F19" s="56" t="n">
        <x:v>560000000</x:v>
      </x:c>
      <x:c r="G19" s="26" t="str">
        <x:v>تومان</x:v>
      </x:c>
      <x:c r="H19" s="26" t="str">
        <x:v>دستگاه</x:v>
      </x:c>
      <x:c r="I19" s="26" t="str">
        <x:v>خرید یک‌باره؛ قرارداد نهایی بررسی نشده</x:v>
      </x:c>
      <x:c r="J19" s="26" t="str">
        <x:v>تجهیز معرفی‌شده</x:v>
      </x:c>
      <x:c r="K19" s="26" t="str">
        <x:v>قیمت عمومی مشاهده‌شده</x:v>
      </x:c>
      <x:c r="L19" s="26" t="str">
        <x:v>تأیید مستقل موجودی انجام نشده</x:v>
      </x:c>
      <x:c r="M19" s="26" t="str">
        <x:v>حمل، نصب، اتصال، مالیات و پشتیبانیِ پروژه احراز نشده‌اند.</x:v>
      </x:c>
      <x:c r="N19" s="26" t="str">
        <x:v>https://payapars.com/shop/page/3/</x:v>
      </x:c>
      <x:c r="O19" s="58" t="n">
        <x:v>46311</x:v>
      </x:c>
      <x:c r="P19" s="26" t="str">
        <x:v>560,000,000</x:v>
      </x:c>
    </x:row>
    <x:row r="20" ht="90" customHeight="1">
      <x:c r="A20" s="26" t="str">
        <x:v>PQ016</x:v>
      </x:c>
      <x:c r="B20" s="26" t="str">
        <x:v>ایران</x:v>
      </x:c>
      <x:c r="C20" s="26" t="str">
        <x:v>پایاپارس</x:v>
      </x:c>
      <x:c r="D20" s="26" t="str">
        <x:v>وندینگ میوه و سبزی بسته‌ای</x:v>
      </x:c>
      <x:c r="E20" s="56" t="n">
        <x:v>340000000</x:v>
      </x:c>
      <x:c r="F20" s="56" t="n">
        <x:v>340000000</x:v>
      </x:c>
      <x:c r="G20" s="26" t="str">
        <x:v>تومان</x:v>
      </x:c>
      <x:c r="H20" s="26" t="str">
        <x:v>دستگاه</x:v>
      </x:c>
      <x:c r="I20" s="26" t="str">
        <x:v>خرید یک‌باره؛ قرارداد نهایی بررسی نشده</x:v>
      </x:c>
      <x:c r="J20" s="26" t="str">
        <x:v>تجهیز معرفی‌شده</x:v>
      </x:c>
      <x:c r="K20" s="26" t="str">
        <x:v>قیمت عمومی مشاهده‌شده</x:v>
      </x:c>
      <x:c r="L20" s="26" t="str">
        <x:v>تأیید مستقل موجودی انجام نشده</x:v>
      </x:c>
      <x:c r="M20" s="26" t="str">
        <x:v>حمل، نصب، اتصال، مالیات و پشتیبانیِ پروژه احراز نشده‌اند.</x:v>
      </x:c>
      <x:c r="N20" s="26" t="str">
        <x:v>https://payapars.com/shop/page/3/</x:v>
      </x:c>
      <x:c r="O20" s="58" t="n">
        <x:v>46311</x:v>
      </x:c>
      <x:c r="P20" s="26" t="str">
        <x:v>340,000,000</x:v>
      </x:c>
    </x:row>
    <x:row r="21" ht="90" customHeight="1">
      <x:c r="A21" s="26" t="str">
        <x:v>PQ017</x:v>
      </x:c>
      <x:c r="B21" s="26" t="str">
        <x:v>ایران</x:v>
      </x:c>
      <x:c r="C21" s="26" t="str">
        <x:v>دانش‌آوران</x:v>
      </x:c>
      <x:c r="D21" s="26" t="str">
        <x:v>کیوسک پرداخت نوید</x:v>
      </x:c>
      <x:c r="E21" s="56" t="n">
        <x:v>270000000</x:v>
      </x:c>
      <x:c r="F21" s="56" t="n">
        <x:v>270000000</x:v>
      </x:c>
      <x:c r="G21" s="26" t="str">
        <x:v>تومان</x:v>
      </x:c>
      <x:c r="H21" s="26" t="str">
        <x:v>دستگاه</x:v>
      </x:c>
      <x:c r="I21" s="26" t="str">
        <x:v>خرید یک‌باره؛ قرارداد نهایی بررسی نشده</x:v>
      </x:c>
      <x:c r="J21" s="26" t="str">
        <x:v>کیوسک؛ نه سامانه کامل خودپرداخت گروسری</x:v>
      </x:c>
      <x:c r="K21" s="26" t="str">
        <x:v>قیمت عمومی مشاهده‌شده</x:v>
      </x:c>
      <x:c r="L21" s="26" t="str">
        <x:v>موجود در متن صفحه؛ تحویل قطعی تأیید نشده</x:v>
      </x:c>
      <x:c r="M21" s="26" t="str">
        <x:v>حمل، نصب، اتصال، مالیات و پشتیبانیِ پروژه احراز نشده‌اند.</x:v>
      </x:c>
      <x:c r="N21" s="26" t="str">
        <x:v>https://daneshavaran.ir/navid-touch-stand/</x:v>
      </x:c>
      <x:c r="O21" s="58" t="n">
        <x:v>46311</x:v>
      </x:c>
      <x:c r="P21" s="26" t="str">
        <x:v>270,000,000</x:v>
      </x:c>
    </x:row>
    <x:row r="22" ht="90" customHeight="1">
      <x:c r="A22" s="26" t="str">
        <x:v>PQ018</x:v>
      </x:c>
      <x:c r="B22" s="26" t="str">
        <x:v>ایران</x:v>
      </x:c>
      <x:c r="C22" s="26" t="str">
        <x:v>دانش‌آوران</x:v>
      </x:c>
      <x:c r="D22" s="26" t="str">
        <x:v>استند مدل آیفون؛ قیمت نمایش اولیه</x:v>
      </x:c>
      <x:c r="E22" s="56" t="n">
        <x:v>255000000</x:v>
      </x:c>
      <x:c r="F22" s="56" t="n">
        <x:v>255000000</x:v>
      </x:c>
      <x:c r="G22" s="26" t="str">
        <x:v>تومان</x:v>
      </x:c>
      <x:c r="H22" s="26" t="str">
        <x:v>دستگاه</x:v>
      </x:c>
      <x:c r="I22" s="26" t="str">
        <x:v>خرید یک‌باره؛ قرارداد نهایی بررسی نشده</x:v>
      </x:c>
      <x:c r="J22" s="26" t="str">
        <x:v>پیکربندی نمایش اولیه؛ نرم‌افزار پروژه جدا</x:v>
      </x:c>
      <x:c r="K22" s="26" t="str">
        <x:v>قیمت نمایش اولیه؛ پیکربندی نیازمند استعلام</x:v>
      </x:c>
      <x:c r="L22" s="26" t="str">
        <x:v>تأیید مستقل موجودی انجام نشده</x:v>
      </x:c>
      <x:c r="M22" s="26" t="str">
        <x:v>حمل، نصب، اتصال، مالیات و پشتیبانیِ پروژه احراز نشده‌اند.</x:v>
      </x:c>
      <x:c r="N22" s="26" t="str">
        <x:v>https://daneshavaran.ir/touch-stand-standing-model/</x:v>
      </x:c>
      <x:c r="O22" s="58" t="n">
        <x:v>46311</x:v>
      </x:c>
      <x:c r="P22" s="26" t="str">
        <x:v>255,000,000</x:v>
      </x:c>
    </x:row>
    <x:row r="23" ht="90" customHeight="1">
      <x:c r="A23" s="26" t="str">
        <x:v>PQ019</x:v>
      </x:c>
      <x:c r="B23" s="26" t="str">
        <x:v>ایران</x:v>
      </x:c>
      <x:c r="C23" s="26" t="str">
        <x:v>دانش‌آوران</x:v>
      </x:c>
      <x:c r="D23" s="26" t="str">
        <x:v>کیوسک چرخشی ۵۵ اینچ</x:v>
      </x:c>
      <x:c r="E23" s="56" t="n">
        <x:v>405000000</x:v>
      </x:c>
      <x:c r="F23" s="56" t="n">
        <x:v>405000000</x:v>
      </x:c>
      <x:c r="G23" s="26" t="str">
        <x:v>تومان</x:v>
      </x:c>
      <x:c r="H23" s="26" t="str">
        <x:v>دستگاه</x:v>
      </x:c>
      <x:c r="I23" s="26" t="str">
        <x:v>خرید یک‌باره؛ قرارداد نهایی بررسی نشده</x:v>
      </x:c>
      <x:c r="J23" s="26" t="str">
        <x:v>تجهیز معرفی‌شده</x:v>
      </x:c>
      <x:c r="K23" s="26" t="str">
        <x:v>قیمت عمومی مشاهده‌شده</x:v>
      </x:c>
      <x:c r="L23" s="26" t="str">
        <x:v>تأیید مستقل موجودی انجام نشده</x:v>
      </x:c>
      <x:c r="M23" s="26" t="str">
        <x:v>حمل، نصب، اتصال، مالیات و پشتیبانیِ پروژه احراز نشده‌اند.</x:v>
      </x:c>
      <x:c r="N23" s="26" t="str">
        <x:v>https://daneshavaran.ir/rotating-kiosk/</x:v>
      </x:c>
      <x:c r="O23" s="58" t="n">
        <x:v>46311</x:v>
      </x:c>
      <x:c r="P23" s="26" t="str">
        <x:v>405,000,000</x:v>
      </x:c>
    </x:row>
    <x:row r="24" ht="90" customHeight="1">
      <x:c r="A24" s="26" t="str">
        <x:v>PQ020</x:v>
      </x:c>
      <x:c r="B24" s="26" t="str">
        <x:v>ایران</x:v>
      </x:c>
      <x:c r="C24" s="26" t="str">
        <x:v>ارغوان سنت</x:v>
      </x:c>
      <x:c r="D24" s="26" t="str">
        <x:v>Mini 1</x:v>
      </x:c>
      <x:c r="E24" s="56" t="n">
        <x:v>3500000</x:v>
      </x:c>
      <x:c r="F24" s="56" t="n">
        <x:v>3500000</x:v>
      </x:c>
      <x:c r="G24" s="26" t="str">
        <x:v>تومان</x:v>
      </x:c>
      <x:c r="H24" s="26" t="str">
        <x:v>دستگاه</x:v>
      </x:c>
      <x:c r="I24" s="26" t="str">
        <x:v>خرید یک‌باره؛ قرارداد نهایی بررسی نشده</x:v>
      </x:c>
      <x:c r="J24" s="26" t="str">
        <x:v>یک دستگاه کوچک؛ نه سامانه رایحه کل فروشگاه</x:v>
      </x:c>
      <x:c r="K24" s="26" t="str">
        <x:v>قیمت عمومی مشاهده‌شده</x:v>
      </x:c>
      <x:c r="L24" s="26" t="str">
        <x:v>موجود طبق متادیتا؛ تأیید مستقل نشده</x:v>
      </x:c>
      <x:c r="M24" s="26" t="str">
        <x:v>حمل، نصب، اتصال، مالیات و پشتیبانیِ پروژه احراز نشده‌اند.</x:v>
      </x:c>
      <x:c r="N24" s="26" t="str">
        <x:v>https://arghavanscent.ir/mini1/</x:v>
      </x:c>
      <x:c r="O24" s="58" t="n">
        <x:v>46311</x:v>
      </x:c>
      <x:c r="P24" s="26" t="str">
        <x:v>3,500,000</x:v>
      </x:c>
    </x:row>
    <x:row r="25" ht="90" customHeight="1">
      <x:c r="A25" s="26" t="str">
        <x:v>PQ021</x:v>
      </x:c>
      <x:c r="B25" s="26" t="str">
        <x:v>ایران</x:v>
      </x:c>
      <x:c r="C25" s="26" t="str">
        <x:v>ارغوان سنت</x:v>
      </x:c>
      <x:c r="D25" s="26" t="str">
        <x:v>S1</x:v>
      </x:c>
      <x:c r="E25" s="56" t="n">
        <x:v>8500000</x:v>
      </x:c>
      <x:c r="F25" s="56" t="n">
        <x:v>8500000</x:v>
      </x:c>
      <x:c r="G25" s="26" t="str">
        <x:v>تومان</x:v>
      </x:c>
      <x:c r="H25" s="26" t="str">
        <x:v>دستگاه</x:v>
      </x:c>
      <x:c r="I25" s="26" t="str">
        <x:v>خرید یک‌باره؛ قرارداد نهایی بررسی نشده</x:v>
      </x:c>
      <x:c r="J25" s="26" t="str">
        <x:v>تجهیز معرفی‌شده</x:v>
      </x:c>
      <x:c r="K25" s="26" t="str">
        <x:v>سرنخ؛ بازخوانی مستقیم قیمت تکمیل نشده</x:v>
      </x:c>
      <x:c r="L25" s="26" t="str">
        <x:v>تأیید مستقل موجودی انجام نشده</x:v>
      </x:c>
      <x:c r="M25" s="26" t="str">
        <x:v>حمل، نصب، اتصال، مالیات و پشتیبانیِ پروژه احراز نشده‌اند.</x:v>
      </x:c>
      <x:c r="N25" s="26" t="str">
        <x:v>https://arghavanscent.ir/دستگاه-خوشبو-کننده-s1/</x:v>
      </x:c>
      <x:c r="O25" s="58" t="n">
        <x:v>46311</x:v>
      </x:c>
      <x:c r="P25" s="26" t="str">
        <x:v>8,500,000</x:v>
      </x:c>
    </x:row>
    <x:row r="26" ht="90" customHeight="1">
      <x:c r="A26" s="26" t="str">
        <x:v>PQ022</x:v>
      </x:c>
      <x:c r="B26" s="26" t="str">
        <x:v>ایران</x:v>
      </x:c>
      <x:c r="C26" s="26" t="str">
        <x:v>آتن</x:v>
      </x:c>
      <x:c r="D26" s="26" t="str">
        <x:v>AP7000 ثابت ۵۰وات</x:v>
      </x:c>
      <x:c r="E26" s="56" t="n">
        <x:v>9500000</x:v>
      </x:c>
      <x:c r="F26" s="56" t="n">
        <x:v>9500000</x:v>
      </x:c>
      <x:c r="G26" s="26" t="str">
        <x:v>تومان</x:v>
      </x:c>
      <x:c r="H26" s="26" t="str">
        <x:v>دستگاه</x:v>
      </x:c>
      <x:c r="I26" s="26" t="str">
        <x:v>خرید یک‌باره؛ قرارداد نهایی بررسی نشده</x:v>
      </x:c>
      <x:c r="J26" s="26" t="str">
        <x:v>تجهیز معرفی‌شده</x:v>
      </x:c>
      <x:c r="K26" s="26" t="str">
        <x:v>قیمت عمومی مشاهده‌شده</x:v>
      </x:c>
      <x:c r="L26" s="26" t="str">
        <x:v>فروخته‌شد در صفحه</x:v>
      </x:c>
      <x:c r="M26" s="26" t="str">
        <x:v>حمل، نصب، اتصال، مالیات و پشتیبانیِ پروژه احراز نشده‌اند.</x:v>
      </x:c>
      <x:c r="N26" s="26" t="str">
        <x:v>https://atenprojector.com/shop/</x:v>
      </x:c>
      <x:c r="O26" s="58" t="n">
        <x:v>46311</x:v>
      </x:c>
      <x:c r="P26" s="26" t="str">
        <x:v>9,500,000</x:v>
      </x:c>
    </x:row>
    <x:row r="27" ht="90" customHeight="1">
      <x:c r="A27" s="26" t="str">
        <x:v>PQ023</x:v>
      </x:c>
      <x:c r="B27" s="26" t="str">
        <x:v>ایران</x:v>
      </x:c>
      <x:c r="C27" s="26" t="str">
        <x:v>آتن</x:v>
      </x:c>
      <x:c r="D27" s="26" t="str">
        <x:v>AP14000 ثابت ۱۲۰وات</x:v>
      </x:c>
      <x:c r="E27" s="56" t="n">
        <x:v>21000000</x:v>
      </x:c>
      <x:c r="F27" s="56" t="n">
        <x:v>21000000</x:v>
      </x:c>
      <x:c r="G27" s="26" t="str">
        <x:v>تومان</x:v>
      </x:c>
      <x:c r="H27" s="26" t="str">
        <x:v>دستگاه</x:v>
      </x:c>
      <x:c r="I27" s="26" t="str">
        <x:v>خرید یک‌باره؛ قرارداد نهایی بررسی نشده</x:v>
      </x:c>
      <x:c r="J27" s="26" t="str">
        <x:v>تجهیز معرفی‌شده</x:v>
      </x:c>
      <x:c r="K27" s="26" t="str">
        <x:v>قیمت عمومی مشاهده‌شده</x:v>
      </x:c>
      <x:c r="L27" s="26" t="str">
        <x:v>امکان افزودن به سبد؛ تأیید تحویل نشده</x:v>
      </x:c>
      <x:c r="M27" s="26" t="str">
        <x:v>حمل، نصب، اتصال، مالیات و پشتیبانیِ پروژه احراز نشده‌اند.</x:v>
      </x:c>
      <x:c r="N27" s="26" t="str">
        <x:v>https://atenprojector.com/shop/</x:v>
      </x:c>
      <x:c r="O27" s="58" t="n">
        <x:v>46311</x:v>
      </x:c>
      <x:c r="P27" s="26" t="str">
        <x:v>21,000,000</x:v>
      </x:c>
    </x:row>
    <x:row r="28" ht="90" customHeight="1">
      <x:c r="A28" s="26" t="str">
        <x:v>PQ024</x:v>
      </x:c>
      <x:c r="B28" s="26" t="str">
        <x:v>ایران</x:v>
      </x:c>
      <x:c r="C28" s="26" t="str">
        <x:v>آتن</x:v>
      </x:c>
      <x:c r="D28" s="26" t="str">
        <x:v>AP14000W با موج</x:v>
      </x:c>
      <x:c r="E28" s="56" t="n">
        <x:v>31000000</x:v>
      </x:c>
      <x:c r="F28" s="56" t="n">
        <x:v>31000000</x:v>
      </x:c>
      <x:c r="G28" s="26" t="str">
        <x:v>تومان</x:v>
      </x:c>
      <x:c r="H28" s="26" t="str">
        <x:v>دستگاه</x:v>
      </x:c>
      <x:c r="I28" s="26" t="str">
        <x:v>خرید یک‌باره؛ قرارداد نهایی بررسی نشده</x:v>
      </x:c>
      <x:c r="J28" s="26" t="str">
        <x:v>تجهیز معرفی‌شده</x:v>
      </x:c>
      <x:c r="K28" s="26" t="str">
        <x:v>قیمت عمومی مشاهده‌شده</x:v>
      </x:c>
      <x:c r="L28" s="26" t="str">
        <x:v>امکان افزودن به سبد؛ تأیید تحویل نشده</x:v>
      </x:c>
      <x:c r="M28" s="26" t="str">
        <x:v>حمل، نصب، اتصال، مالیات و پشتیبانیِ پروژه احراز نشده‌اند.</x:v>
      </x:c>
      <x:c r="N28" s="26" t="str">
        <x:v>https://atenprojector.com/shop/</x:v>
      </x:c>
      <x:c r="O28" s="58" t="n">
        <x:v>46311</x:v>
      </x:c>
      <x:c r="P28" s="26" t="str">
        <x:v>31,000,000</x:v>
      </x:c>
    </x:row>
    <x:row r="29" ht="90" customHeight="1">
      <x:c r="A29" s="26" t="str">
        <x:v>PQ025</x:v>
      </x:c>
      <x:c r="B29" s="26" t="str">
        <x:v>ایران</x:v>
      </x:c>
      <x:c r="C29" s="26" t="str">
        <x:v>آتن</x:v>
      </x:c>
      <x:c r="D29" s="26" t="str">
        <x:v>AP25000S اسلایدی</x:v>
      </x:c>
      <x:c r="E29" s="56" t="n">
        <x:v>46000000</x:v>
      </x:c>
      <x:c r="F29" s="56" t="n">
        <x:v>46000000</x:v>
      </x:c>
      <x:c r="G29" s="26" t="str">
        <x:v>تومان</x:v>
      </x:c>
      <x:c r="H29" s="26" t="str">
        <x:v>دستگاه</x:v>
      </x:c>
      <x:c r="I29" s="26" t="str">
        <x:v>خرید یک‌باره؛ قرارداد نهایی بررسی نشده</x:v>
      </x:c>
      <x:c r="J29" s="26" t="str">
        <x:v>تجهیز معرفی‌شده</x:v>
      </x:c>
      <x:c r="K29" s="26" t="str">
        <x:v>قیمت عمومی مشاهده‌شده</x:v>
      </x:c>
      <x:c r="L29" s="26" t="str">
        <x:v>فروخته‌شد در صفحه</x:v>
      </x:c>
      <x:c r="M29" s="26" t="str">
        <x:v>حمل، نصب، اتصال، مالیات و پشتیبانیِ پروژه احراز نشده‌اند.</x:v>
      </x:c>
      <x:c r="N29" s="26" t="str">
        <x:v>https://atenprojector.com/shop/</x:v>
      </x:c>
      <x:c r="O29" s="58" t="n">
        <x:v>46311</x:v>
      </x:c>
      <x:c r="P29" s="26" t="str">
        <x:v>46,000,000</x:v>
      </x:c>
    </x:row>
    <x:row r="30" ht="90" customHeight="1">
      <x:c r="A30" s="26" t="str">
        <x:v>PQ026</x:v>
      </x:c>
      <x:c r="B30" s="26" t="str">
        <x:v>ایران</x:v>
      </x:c>
      <x:c r="C30" s="26" t="str">
        <x:v>کارامید</x:v>
      </x:c>
      <x:c r="D30" s="26" t="str">
        <x:v>EMO هفت کیلووات</x:v>
      </x:c>
      <x:c r="E30" s="56" t="n">
        <x:v>57000000</x:v>
      </x:c>
      <x:c r="F30" s="56" t="n">
        <x:v>57000000</x:v>
      </x:c>
      <x:c r="G30" s="26" t="str">
        <x:v>تومان</x:v>
      </x:c>
      <x:c r="H30" s="26" t="str">
        <x:v>دستگاه</x:v>
      </x:c>
      <x:c r="I30" s="26" t="str">
        <x:v>خرید یک‌باره؛ قرارداد نهایی بررسی نشده</x:v>
      </x:c>
      <x:c r="J30" s="26" t="str">
        <x:v>شارژر؛ نه پارکینگ یا زیرساخت شارژ تجاری کامل</x:v>
      </x:c>
      <x:c r="K30" s="26" t="str">
        <x:v>قیمت عمومی مشاهده‌شده</x:v>
      </x:c>
      <x:c r="L30" s="26" t="str">
        <x:v>تأیید مستقل موجودی انجام نشده</x:v>
      </x:c>
      <x:c r="M30" s="26" t="str">
        <x:v>حمل، نصب، اتصال، مالیات و پشتیبانیِ پروژه احراز نشده‌اند.</x:v>
      </x:c>
      <x:c r="N30" s="26" t="str">
        <x:v>https://caramid.ir/shop/</x:v>
      </x:c>
      <x:c r="O30" s="58" t="n">
        <x:v>46311</x:v>
      </x:c>
      <x:c r="P30" s="26" t="str">
        <x:v>57,000,000</x:v>
      </x:c>
    </x:row>
    <x:row r="31" ht="90" customHeight="1">
      <x:c r="A31" s="26" t="str">
        <x:v>PQ027</x:v>
      </x:c>
      <x:c r="B31" s="26" t="str">
        <x:v>ایران</x:v>
      </x:c>
      <x:c r="C31" s="26" t="str">
        <x:v>ای‌مپنا</x:v>
      </x:c>
      <x:c r="D31" s="26" t="str">
        <x:v>Afra AS2-22 بیست‌ودو کیلووات</x:v>
      </x:c>
      <x:c r="E31" s="56" t="n">
        <x:v>285000000</x:v>
      </x:c>
      <x:c r="F31" s="56" t="n">
        <x:v>285000000</x:v>
      </x:c>
      <x:c r="G31" s="26" t="str">
        <x:v>تومان</x:v>
      </x:c>
      <x:c r="H31" s="26" t="str">
        <x:v>دستگاه</x:v>
      </x:c>
      <x:c r="I31" s="26" t="str">
        <x:v>خرید یک‌باره؛ قرارداد نهایی بررسی نشده</x:v>
      </x:c>
      <x:c r="J31" s="26" t="str">
        <x:v>تجهیز معرفی‌شده</x:v>
      </x:c>
      <x:c r="K31" s="26" t="str">
        <x:v>سرنخ؛ صفحه مستقیم مسدود</x:v>
      </x:c>
      <x:c r="L31" s="26" t="str">
        <x:v>تأیید مستقل موجودی انجام نشده</x:v>
      </x:c>
      <x:c r="M31" s="26" t="str">
        <x:v>حمل، نصب، اتصال، مالیات و پشتیبانیِ پروژه احراز نشده‌اند.</x:v>
      </x:c>
      <x:c r="N31" s="26" t="str">
        <x:v>https://www.emapna.com/store</x:v>
      </x:c>
      <x:c r="O31" s="58" t="n">
        <x:v>46311</x:v>
      </x:c>
      <x:c r="P31" s="26" t="str">
        <x:v>285,000,000</x:v>
      </x:c>
    </x:row>
    <x:row r="32" ht="90" customHeight="1">
      <x:c r="A32" s="26" t="str">
        <x:v>PQ028</x:v>
      </x:c>
      <x:c r="B32" s="26" t="str">
        <x:v>ایران</x:v>
      </x:c>
      <x:c r="C32" s="26" t="str">
        <x:v>KTG</x:v>
      </x:c>
      <x:c r="D32" s="26" t="str">
        <x:v>DS81</x:v>
      </x:c>
      <x:c r="E32" s="56" t="n">
        <x:v>30000000</x:v>
      </x:c>
      <x:c r="F32" s="56" t="n">
        <x:v>30000000</x:v>
      </x:c>
      <x:c r="G32" s="26" t="str">
        <x:v>تومان</x:v>
      </x:c>
      <x:c r="H32" s="26" t="str">
        <x:v>دستگاه</x:v>
      </x:c>
      <x:c r="I32" s="26" t="str">
        <x:v>خرید یک‌باره؛ قرارداد نهایی بررسی نشده</x:v>
      </x:c>
      <x:c r="J32" s="26" t="str">
        <x:v>مدل ردیف جدول؛ نرم‌افزار۴میلیون جدا</x:v>
      </x:c>
      <x:c r="K32" s="26" t="str">
        <x:v>قیمت ردیف مدل؛ تأیید پیکربندی لازم</x:v>
      </x:c>
      <x:c r="L32" s="26" t="str">
        <x:v>تأیید مستقل موجودی انجام نشده</x:v>
      </x:c>
      <x:c r="M32" s="26" t="str">
        <x:v>حمل، نصب، اتصال، مالیات و پشتیبانیِ پروژه احراز نشده‌اند.</x:v>
      </x:c>
      <x:c r="N32" s="26" t="str">
        <x:v>https://ktglabgroup.com/product/datalogger/</x:v>
      </x:c>
      <x:c r="O32" s="58" t="n">
        <x:v>46311</x:v>
      </x:c>
      <x:c r="P32" s="26" t="str">
        <x:v>30,000,000</x:v>
      </x:c>
    </x:row>
    <x:row r="33" ht="90" customHeight="1">
      <x:c r="A33" s="26" t="str">
        <x:v>PQ029</x:v>
      </x:c>
      <x:c r="B33" s="26" t="str">
        <x:v>ایران</x:v>
      </x:c>
      <x:c r="C33" s="26" t="str">
        <x:v>KTG</x:v>
      </x:c>
      <x:c r="D33" s="26" t="str">
        <x:v>نرم‌افزار همراه DS81</x:v>
      </x:c>
      <x:c r="E33" s="56" t="n">
        <x:v>4000000</x:v>
      </x:c>
      <x:c r="F33" s="56" t="n">
        <x:v>4000000</x:v>
      </x:c>
      <x:c r="G33" s="26" t="str">
        <x:v>تومان</x:v>
      </x:c>
      <x:c r="H33" s="26" t="str">
        <x:v>لایسنس</x:v>
      </x:c>
      <x:c r="I33" s="26" t="str">
        <x:v>نامعلوم؛ نباید خودکار سالانه یا دائمی فرض شود</x:v>
      </x:c>
      <x:c r="J33" s="26" t="str">
        <x:v>آیتم نرم‌افزار ردیف؛ دامنه دستگاه/دوره نامعلوم</x:v>
      </x:c>
      <x:c r="K33" s="26" t="str">
        <x:v>قیمت با دامنه ناقص</x:v>
      </x:c>
      <x:c r="L33" s="26" t="str">
        <x:v>تأیید مستقل موجودی انجام نشده</x:v>
      </x:c>
      <x:c r="M33" s="26" t="str">
        <x:v>حمل، نصب، اتصال، مالیات و پشتیبانیِ پروژه احراز نشده‌اند.</x:v>
      </x:c>
      <x:c r="N33" s="26" t="str">
        <x:v>https://ktglabgroup.com/product/datalogger/</x:v>
      </x:c>
      <x:c r="O33" s="58" t="n">
        <x:v>46311</x:v>
      </x:c>
      <x:c r="P33" s="26" t="str">
        <x:v>4,000,000</x:v>
      </x:c>
    </x:row>
    <x:row r="34" ht="90" customHeight="1">
      <x:c r="A34" s="26" t="str">
        <x:v>PQ030</x:v>
      </x:c>
      <x:c r="B34" s="26" t="str">
        <x:v>ایران</x:v>
      </x:c>
      <x:c r="C34" s="26" t="str">
        <x:v>KTG</x:v>
      </x:c>
      <x:c r="D34" s="26" t="str">
        <x:v>DS83</x:v>
      </x:c>
      <x:c r="E34" s="56" t="n">
        <x:v>35000000</x:v>
      </x:c>
      <x:c r="F34" s="56" t="n">
        <x:v>35000000</x:v>
      </x:c>
      <x:c r="G34" s="26" t="str">
        <x:v>تومان</x:v>
      </x:c>
      <x:c r="H34" s="26" t="str">
        <x:v>دستگاه</x:v>
      </x:c>
      <x:c r="I34" s="26" t="str">
        <x:v>خرید یک‌باره؛ قرارداد نهایی بررسی نشده</x:v>
      </x:c>
      <x:c r="J34" s="26" t="str">
        <x:v>تجهیز معرفی‌شده</x:v>
      </x:c>
      <x:c r="K34" s="26" t="str">
        <x:v>قیمت ردیف مدل؛ تأیید پیکربندی لازم</x:v>
      </x:c>
      <x:c r="L34" s="26" t="str">
        <x:v>تأیید مستقل موجودی انجام نشده</x:v>
      </x:c>
      <x:c r="M34" s="26" t="str">
        <x:v>حمل، نصب، اتصال، مالیات و پشتیبانیِ پروژه احراز نشده‌اند.</x:v>
      </x:c>
      <x:c r="N34" s="26" t="str">
        <x:v>https://ktglabgroup.com/product/datalogger/</x:v>
      </x:c>
      <x:c r="O34" s="58" t="n">
        <x:v>46311</x:v>
      </x:c>
      <x:c r="P34" s="26" t="str">
        <x:v>35,000,000</x:v>
      </x:c>
    </x:row>
    <x:row r="35" ht="90" customHeight="1">
      <x:c r="A35" s="26" t="str">
        <x:v>PQ031</x:v>
      </x:c>
      <x:c r="B35" s="26" t="str">
        <x:v>ایران</x:v>
      </x:c>
      <x:c r="C35" s="26" t="str">
        <x:v>اتنسی</x:v>
      </x:c>
      <x:c r="D35" s="26" t="str">
        <x:v>مدیریت حضور و غیاب ابری</x:v>
      </x:c>
      <x:c r="E35" s="56" t="n">
        <x:v>35000</x:v>
      </x:c>
      <x:c r="F35" s="56" t="n">
        <x:v>35000</x:v>
      </x:c>
      <x:c r="G35" s="26" t="str">
        <x:v>تومان</x:v>
      </x:c>
      <x:c r="H35" s="26" t="str">
        <x:v>نفر/ماه</x:v>
      </x:c>
      <x:c r="I35" s="26" t="str">
        <x:v>خرید ماهانه، شش‌ماهه یا سالانه در معرفی؛ تخفیف تبلیغ‌شده سالانه نیازمند تأیید، مثال هزینه بر مبنای نرخ ماهانه بدون تخفیف است</x:v>
      </x:c>
      <x:c r="J35" s="26" t="str">
        <x:v>پلن پایه؛ اتصال یک دستگاه</x:v>
      </x:c>
      <x:c r="K35" s="26" t="str">
        <x:v>قیمت عمومی مشاهده‌شده</x:v>
      </x:c>
      <x:c r="L35" s="26" t="str">
        <x:v>تأیید مستقل موجودی انجام نشده</x:v>
      </x:c>
      <x:c r="M35" s="26" t="str">
        <x:v>توسعه سفارشی، مهاجرت و اتصال حقوق و دستمزد در قیمت احراز نشده</x:v>
      </x:c>
      <x:c r="N35" s="26" t="str">
        <x:v>https://atency.com/</x:v>
      </x:c>
      <x:c r="O35" s="58" t="n">
        <x:v>46311</x:v>
      </x:c>
      <x:c r="P35" s="26" t="str">
        <x:v>35,000</x:v>
      </x:c>
    </x:row>
    <x:row r="36" ht="90" customHeight="1">
      <x:c r="A36" s="26" t="str">
        <x:v>PQ032</x:v>
      </x:c>
      <x:c r="B36" s="26" t="str">
        <x:v>ایران</x:v>
      </x:c>
      <x:c r="C36" s="26" t="str">
        <x:v>اتنسی</x:v>
      </x:c>
      <x:c r="D36" s="26" t="str">
        <x:v>کسرا کلاد؛ مدیریت حضور سازمانی (در صفحه اتنسی)</x:v>
      </x:c>
      <x:c r="E36" s="56" t="n">
        <x:v>100000</x:v>
      </x:c>
      <x:c r="F36" s="56" t="n">
        <x:v>100000</x:v>
      </x:c>
      <x:c r="G36" s="26" t="str">
        <x:v>تومان</x:v>
      </x:c>
      <x:c r="H36" s="26" t="str">
        <x:v>نفر/ماه</x:v>
      </x:c>
      <x:c r="I36" s="26" t="str">
        <x:v>اشتراک سالانه با امکان اقساط</x:v>
      </x:c>
      <x:c r="J36" s="26" t="str">
        <x:v>اتصال۵+دستگاه طبق صفحه</x:v>
      </x:c>
      <x:c r="K36" s="26" t="str">
        <x:v>قیمت عمومی مشاهده‌شده</x:v>
      </x:c>
      <x:c r="L36" s="26" t="str">
        <x:v>تأیید مستقل موجودی انجام نشده</x:v>
      </x:c>
      <x:c r="M36" s="26" t="str">
        <x:v>بهینه‌ساز سفارشی شیفت و قواعد اختصاصی جدا بررسی شوند</x:v>
      </x:c>
      <x:c r="N36" s="26" t="str">
        <x:v>https://atency.com/</x:v>
      </x:c>
      <x:c r="O36" s="58" t="n">
        <x:v>46311</x:v>
      </x:c>
      <x:c r="P36" s="26" t="str">
        <x:v>100,000</x:v>
      </x:c>
    </x:row>
    <x:row r="37" ht="90" customHeight="1">
      <x:c r="A37" s="26" t="str">
        <x:v>PQ033</x:v>
      </x:c>
      <x:c r="B37" s="26" t="str">
        <x:v>ایران</x:v>
      </x:c>
      <x:c r="C37" s="26" t="str">
        <x:v>رایبرد</x:v>
      </x:c>
      <x:c r="D37" s="26" t="str">
        <x:v>پایه؛ ۱۰–۳۰نمایشگر</x:v>
      </x:c>
      <x:c r="E37" s="56" t="n">
        <x:v>12000000</x:v>
      </x:c>
      <x:c r="F37" s="56" t="n">
        <x:v>12000000</x:v>
      </x:c>
      <x:c r="G37" s="26" t="str">
        <x:v>تومان</x:v>
      </x:c>
      <x:c r="H37" s="26" t="str">
        <x:v>نمایشگر</x:v>
      </x:c>
      <x:c r="I37" s="26" t="str">
        <x:v>مدت نامعلوم</x:v>
      </x:c>
      <x:c r="J37" s="26" t="str">
        <x:v>طرح نرم‌افزار ساینیج؛ سخت‌افزار احراز نشده</x:v>
      </x:c>
      <x:c r="K37" s="26" t="str">
        <x:v>قیمت با مدت صورتحساب نامعلوم</x:v>
      </x:c>
      <x:c r="L37" s="26" t="str">
        <x:v>تأیید مستقل موجودی انجام نشده</x:v>
      </x:c>
      <x:c r="M37" s="26" t="str">
        <x:v>حمل، نصب، اتصال، مالیات و پشتیبانیِ پروژه احراز نشده‌اند.</x:v>
      </x:c>
      <x:c r="N37" s="26" t="str">
        <x:v>https://www.rayboard.ir/</x:v>
      </x:c>
      <x:c r="O37" s="58" t="n">
        <x:v>46311</x:v>
      </x:c>
      <x:c r="P37" s="26" t="str">
        <x:v>12,000,000</x:v>
      </x:c>
    </x:row>
    <x:row r="38" ht="90" customHeight="1">
      <x:c r="A38" s="26" t="str">
        <x:v>PQ034</x:v>
      </x:c>
      <x:c r="B38" s="26" t="str">
        <x:v>ایران</x:v>
      </x:c>
      <x:c r="C38" s="26" t="str">
        <x:v>رایبرد</x:v>
      </x:c>
      <x:c r="D38" s="26" t="str">
        <x:v>حرفه‌ای؛ ۳۰–۱۰۰نمایشگر</x:v>
      </x:c>
      <x:c r="E38" s="56" t="n">
        <x:v>10000000</x:v>
      </x:c>
      <x:c r="F38" s="56" t="n">
        <x:v>10000000</x:v>
      </x:c>
      <x:c r="G38" s="26" t="str">
        <x:v>تومان</x:v>
      </x:c>
      <x:c r="H38" s="26" t="str">
        <x:v>نمایشگر</x:v>
      </x:c>
      <x:c r="I38" s="26" t="str">
        <x:v>مدت نامعلوم</x:v>
      </x:c>
      <x:c r="J38" s="26" t="str">
        <x:v>طرح نرم‌افزار ساینیج</x:v>
      </x:c>
      <x:c r="K38" s="26" t="str">
        <x:v>قیمت با مدت صورتحساب نامعلوم</x:v>
      </x:c>
      <x:c r="L38" s="26" t="str">
        <x:v>تأیید مستقل موجودی انجام نشده</x:v>
      </x:c>
      <x:c r="M38" s="26" t="str">
        <x:v>حمل، نصب، اتصال، مالیات و پشتیبانیِ پروژه احراز نشده‌اند.</x:v>
      </x:c>
      <x:c r="N38" s="26" t="str">
        <x:v>https://www.rayboard.ir/</x:v>
      </x:c>
      <x:c r="O38" s="58" t="n">
        <x:v>46311</x:v>
      </x:c>
      <x:c r="P38" s="26" t="str">
        <x:v>10,000,000</x:v>
      </x:c>
    </x:row>
    <x:row r="39" ht="90" customHeight="1">
      <x:c r="A39" s="26" t="str">
        <x:v>PQ035</x:v>
      </x:c>
      <x:c r="B39" s="26" t="str">
        <x:v>ایران</x:v>
      </x:c>
      <x:c r="C39" s="26" t="str">
        <x:v>حسابفا</x:v>
      </x:c>
      <x:c r="D39" s="26" t="str">
        <x:v>طرح۱؛ مقدار نمایش‌داده‌شده</x:v>
      </x:c>
      <x:c r="E39" s="56" t="n">
        <x:v>590000</x:v>
      </x:c>
      <x:c r="F39" s="56" t="n">
        <x:v>590000</x:v>
      </x:c>
      <x:c r="G39" s="26" t="str">
        <x:v>تومان</x:v>
      </x:c>
      <x:c r="H39" s="26" t="str">
        <x:v>پلن</x:v>
      </x:c>
      <x:c r="I39" s="26" t="str">
        <x:v>انتخاب دوره در متن بازیابی‌شده روشن نیست</x:v>
      </x:c>
      <x:c r="J39" s="26" t="str">
        <x:v>حسابداری؛ نه پلتفرم کامل زنجیره‌ای</x:v>
      </x:c>
      <x:c r="K39" s="26" t="str">
        <x:v>قیمت با مدت صورتحساب نامعلوم</x:v>
      </x:c>
      <x:c r="L39" s="26" t="str">
        <x:v>تأیید مستقل موجودی انجام نشده</x:v>
      </x:c>
      <x:c r="M39" s="26" t="str">
        <x:v>حمل، نصب، اتصال، مالیات و پشتیبانیِ پروژه احراز نشده‌اند.</x:v>
      </x:c>
      <x:c r="N39" s="26" t="str">
        <x:v>https://www.hesabfa.com/prices</x:v>
      </x:c>
      <x:c r="O39" s="58" t="n">
        <x:v>46311</x:v>
      </x:c>
      <x:c r="P39" s="26" t="str">
        <x:v>590,000</x:v>
      </x:c>
    </x:row>
    <x:row r="40" ht="90" customHeight="1">
      <x:c r="A40" s="26" t="str">
        <x:v>PQ036</x:v>
      </x:c>
      <x:c r="B40" s="26" t="str">
        <x:v>خارج</x:v>
      </x:c>
      <x:c r="C40" s="26" t="str">
        <x:v>SOLUM</x:v>
      </x:c>
      <x:c r="D40" s="26" t="str">
        <x:v>برچسب ESL؛ بازه عمومی سازنده</x:v>
      </x:c>
      <x:c r="E40" s="56" t="n">
        <x:v>5</x:v>
      </x:c>
      <x:c r="F40" s="56" t="n">
        <x:v>10</x:v>
      </x:c>
      <x:c r="G40" s="26" t="str">
        <x:v>USD</x:v>
      </x:c>
      <x:c r="H40" s="26" t="str">
        <x:v>برچسب</x:v>
      </x:c>
      <x:c r="I40" s="26" t="str">
        <x:v>خرید یک‌باره؛ قرارداد نهایی بررسی نشده</x:v>
      </x:c>
      <x:c r="J40" s="26" t="str">
        <x:v>برچسب بدون مدل دقیق</x:v>
      </x:c>
      <x:c r="K40" s="26" t="str">
        <x:v>بازه عمومی فروشنده؛ نه پیشنهاد مدل مشخص</x:v>
      </x:c>
      <x:c r="L40" s="26" t="str">
        <x:v>تأیید مستقل موجودی انجام نشده</x:v>
      </x:c>
      <x:c r="M40" s="26" t="str">
        <x:v>حمل، نصب، اتصال، مالیات و پشتیبانیِ پروژه احراز نشده‌اند.</x:v>
      </x:c>
      <x:c r="N40" s="26" t="str">
        <x:v>https://www.solum-group.com/us/en/resources/business-cases/insight-detail.retail.are-electronic-shelf-labels-expensive</x:v>
      </x:c>
      <x:c r="O40" s="58" t="n">
        <x:v>46311</x:v>
      </x:c>
      <x:c r="P40" s="26" t="str">
        <x:v>5</x:v>
      </x:c>
    </x:row>
    <x:row r="41" ht="90" customHeight="1">
      <x:c r="A41" s="26" t="str">
        <x:v>PQ037</x:v>
      </x:c>
      <x:c r="B41" s="26" t="str">
        <x:v>خارج</x:v>
      </x:c>
      <x:c r="C41" s="26" t="str">
        <x:v>SOLUM</x:v>
      </x:c>
      <x:c r="D41" s="26" t="str">
        <x:v>گیت‌وی ESL؛ بازه عمومی</x:v>
      </x:c>
      <x:c r="E41" s="56" t="n">
        <x:v>300</x:v>
      </x:c>
      <x:c r="F41" s="56" t="n">
        <x:v>400</x:v>
      </x:c>
      <x:c r="G41" s="26" t="str">
        <x:v>USD</x:v>
      </x:c>
      <x:c r="H41" s="26" t="str">
        <x:v>گیت‌وی</x:v>
      </x:c>
      <x:c r="I41" s="26" t="str">
        <x:v>خرید یک‌باره؛ قرارداد نهایی بررسی نشده</x:v>
      </x:c>
      <x:c r="J41" s="26" t="str">
        <x:v>گیت‌وی؛ پوشش محل نیازمند آزمون</x:v>
      </x:c>
      <x:c r="K41" s="26" t="str">
        <x:v>بازه عمومی فروشنده؛ نه پیشنهاد مدل مشخص</x:v>
      </x:c>
      <x:c r="L41" s="26" t="str">
        <x:v>تأیید مستقل موجودی انجام نشده</x:v>
      </x:c>
      <x:c r="M41" s="26" t="str">
        <x:v>حمل، نصب، اتصال، مالیات و پشتیبانیِ پروژه احراز نشده‌اند.</x:v>
      </x:c>
      <x:c r="N41" s="26" t="str">
        <x:v>https://www.solum-group.com/us/en/resources/business-cases/insight-detail.retail.are-electronic-shelf-labels-expensive</x:v>
      </x:c>
      <x:c r="O41" s="58" t="n">
        <x:v>46311</x:v>
      </x:c>
      <x:c r="P41" s="26" t="str">
        <x:v>300</x:v>
      </x:c>
    </x:row>
    <x:row r="42" ht="90" customHeight="1">
      <x:c r="A42" s="26" t="str">
        <x:v>PQ038</x:v>
      </x:c>
      <x:c r="B42" s="26" t="str">
        <x:v>خارج</x:v>
      </x:c>
      <x:c r="C42" s="26" t="str">
        <x:v>VMFS USA</x:v>
      </x:c>
      <x:c r="D42" s="26" t="str">
        <x:v>CorePro</x:v>
      </x:c>
      <x:c r="E42" s="56" t="n">
        <x:v>4950</x:v>
      </x:c>
      <x:c r="F42" s="56" t="n">
        <x:v>4950</x:v>
      </x:c>
      <x:c r="G42" s="26" t="str">
        <x:v>USD</x:v>
      </x:c>
      <x:c r="H42" s="26" t="str">
        <x:v>دستگاه</x:v>
      </x:c>
      <x:c r="I42" s="26" t="str">
        <x:v>خرید یک‌باره؛ قرارداد نهایی بررسی نشده</x:v>
      </x:c>
      <x:c r="J42" s="26" t="str">
        <x:v>دستگاه پایه؛ پرداخت‌خوان جدا</x:v>
      </x:c>
      <x:c r="K42" s="26" t="str">
        <x:v>قیمت عمومی مشاهده‌شده</x:v>
      </x:c>
      <x:c r="L42" s="26" t="str">
        <x:v>رابط موجودی/فروخته‌شده ناسازگار؛ استعلام لازم</x:v>
      </x:c>
      <x:c r="M42" s="26" t="str">
        <x:v>حمل، نصب، اتصال، مالیات و پشتیبانیِ پروژه احراز نشده‌اند.</x:v>
      </x:c>
      <x:c r="N42" s="26" t="str">
        <x:v>https://vmfsusa.com/products/corepro-coffee-vending-machine</x:v>
      </x:c>
      <x:c r="O42" s="58" t="n">
        <x:v>46311</x:v>
      </x:c>
      <x:c r="P42" s="26" t="str">
        <x:v>4,950</x:v>
      </x:c>
    </x:row>
    <x:row r="43" ht="90" customHeight="1">
      <x:c r="A43" s="26" t="str">
        <x:v>PQ039</x:v>
      </x:c>
      <x:c r="B43" s="26" t="str">
        <x:v>خارج</x:v>
      </x:c>
      <x:c r="C43" s="26" t="str">
        <x:v>VMFS USA</x:v>
      </x:c>
      <x:c r="D43" s="26" t="str">
        <x:v>افزونه کارتخوان CorePro</x:v>
      </x:c>
      <x:c r="E43" s="56" t="n">
        <x:v>450</x:v>
      </x:c>
      <x:c r="F43" s="56" t="n">
        <x:v>450</x:v>
      </x:c>
      <x:c r="G43" s="26" t="str">
        <x:v>USD</x:v>
      </x:c>
      <x:c r="H43" s="26" t="str">
        <x:v>دستگاه</x:v>
      </x:c>
      <x:c r="I43" s="26" t="str">
        <x:v>خرید یک‌باره؛ قرارداد نهایی بررسی نشده</x:v>
      </x:c>
      <x:c r="J43" s="26" t="str">
        <x:v>افزونه اختیاری؛ سازگاری PSP ایران احراز نشده</x:v>
      </x:c>
      <x:c r="K43" s="26" t="str">
        <x:v>قیمت عمومی مشاهده‌شده</x:v>
      </x:c>
      <x:c r="L43" s="26" t="str">
        <x:v>تأیید مستقل موجودی انجام نشده</x:v>
      </x:c>
      <x:c r="M43" s="26" t="str">
        <x:v>حمل، نصب، اتصال، مالیات و پشتیبانیِ پروژه احراز نشده‌اند.</x:v>
      </x:c>
      <x:c r="N43" s="26" t="str">
        <x:v>https://vmfsusa.com/products/corepro-coffee-vending-machine</x:v>
      </x:c>
      <x:c r="O43" s="58" t="n">
        <x:v>46311</x:v>
      </x:c>
      <x:c r="P43" s="26" t="str">
        <x:v>450</x:v>
      </x:c>
    </x:row>
    <x:row r="44" ht="90" customHeight="1">
      <x:c r="A44" s="26" t="str">
        <x:v>PQ040</x:v>
      </x:c>
      <x:c r="B44" s="26" t="str">
        <x:v>خارج</x:v>
      </x:c>
      <x:c r="C44" s="26" t="str">
        <x:v>VMFS USA</x:v>
      </x:c>
      <x:c r="D44" s="26" t="str">
        <x:v>افزونه اسکناس/سکه CorePro</x:v>
      </x:c>
      <x:c r="E44" s="56" t="n">
        <x:v>450</x:v>
      </x:c>
      <x:c r="F44" s="56" t="n">
        <x:v>450</x:v>
      </x:c>
      <x:c r="G44" s="26" t="str">
        <x:v>USD</x:v>
      </x:c>
      <x:c r="H44" s="26" t="str">
        <x:v>دستگاه</x:v>
      </x:c>
      <x:c r="I44" s="26" t="str">
        <x:v>خرید یک‌باره؛ قرارداد نهایی بررسی نشده</x:v>
      </x:c>
      <x:c r="J44" s="26" t="str">
        <x:v>افزونه اختیاری؛ پول/استاندارد محلی بررسی نشده</x:v>
      </x:c>
      <x:c r="K44" s="26" t="str">
        <x:v>قیمت عمومی مشاهده‌شده</x:v>
      </x:c>
      <x:c r="L44" s="26" t="str">
        <x:v>تأیید مستقل موجودی انجام نشده</x:v>
      </x:c>
      <x:c r="M44" s="26" t="str">
        <x:v>حمل، نصب، اتصال، مالیات و پشتیبانیِ پروژه احراز نشده‌اند.</x:v>
      </x:c>
      <x:c r="N44" s="26" t="str">
        <x:v>https://vmfsusa.com/products/corepro-coffee-vending-machine</x:v>
      </x:c>
      <x:c r="O44" s="58" t="n">
        <x:v>46311</x:v>
      </x:c>
      <x:c r="P44" s="26" t="str">
        <x:v>450</x:v>
      </x:c>
    </x:row>
    <x:row r="45" ht="90" customHeight="1">
      <x:c r="A45" s="26" t="str">
        <x:v>PQ041</x:v>
      </x:c>
      <x:c r="B45" s="26" t="str">
        <x:v>خارج</x:v>
      </x:c>
      <x:c r="C45" s="26" t="str">
        <x:v>VMFS USA</x:v>
      </x:c>
      <x:c r="D45" s="26" t="str">
        <x:v>پوشش سفارشی CorePro</x:v>
      </x:c>
      <x:c r="E45" s="56" t="n">
        <x:v>850</x:v>
      </x:c>
      <x:c r="F45" s="56" t="n">
        <x:v>850</x:v>
      </x:c>
      <x:c r="G45" s="26" t="str">
        <x:v>USD</x:v>
      </x:c>
      <x:c r="H45" s="26" t="str">
        <x:v>دستگاه</x:v>
      </x:c>
      <x:c r="I45" s="26" t="str">
        <x:v>خرید یک‌باره؛ قرارداد نهایی بررسی نشده</x:v>
      </x:c>
      <x:c r="J45" s="26" t="str">
        <x:v>برندینگ اختیاری</x:v>
      </x:c>
      <x:c r="K45" s="26" t="str">
        <x:v>قیمت عمومی مشاهده‌شده</x:v>
      </x:c>
      <x:c r="L45" s="26" t="str">
        <x:v>تأیید مستقل موجودی انجام نشده</x:v>
      </x:c>
      <x:c r="M45" s="26" t="str">
        <x:v>حمل، نصب، اتصال، مالیات و پشتیبانیِ پروژه احراز نشده‌اند.</x:v>
      </x:c>
      <x:c r="N45" s="26" t="str">
        <x:v>https://vmfsusa.com/products/corepro-coffee-vending-machine</x:v>
      </x:c>
      <x:c r="O45" s="58" t="n">
        <x:v>46311</x:v>
      </x:c>
      <x:c r="P45" s="26" t="str">
        <x:v>850</x:v>
      </x:c>
    </x:row>
    <x:row r="46" ht="90" customHeight="1">
      <x:c r="A46" s="26" t="str">
        <x:v>PQ042</x:v>
      </x:c>
      <x:c r="B46" s="26" t="str">
        <x:v>خارج</x:v>
      </x:c>
      <x:c r="C46" s="26" t="str">
        <x:v>Nova Vending</x:v>
      </x:c>
      <x:c r="D46" s="26" t="str">
        <x:v>Popcorn Vending Machine</x:v>
      </x:c>
      <x:c r="E46" s="56" t="n">
        <x:v>7500</x:v>
      </x:c>
      <x:c r="F46" s="56" t="n">
        <x:v>7500</x:v>
      </x:c>
      <x:c r="G46" s="26" t="str">
        <x:v>USD</x:v>
      </x:c>
      <x:c r="H46" s="26" t="str">
        <x:v>دستگاه</x:v>
      </x:c>
      <x:c r="I46" s="26" t="str">
        <x:v>خرید یک‌باره؛ قرارداد نهایی بررسی نشده</x:v>
      </x:c>
      <x:c r="J46" s="26" t="str">
        <x:v>وندینگ؛ گزینه‌های تجهیز باید تثبیت شوند</x:v>
      </x:c>
      <x:c r="K46" s="26" t="str">
        <x:v>قیمت عمومی مشاهده‌شده</x:v>
      </x:c>
      <x:c r="L46" s="26" t="str">
        <x:v>تأیید مستقل موجودی انجام نشده</x:v>
      </x:c>
      <x:c r="M46" s="26" t="str">
        <x:v>حمل، نصب، اتصال، مالیات و پشتیبانیِ پروژه احراز نشده‌اند.</x:v>
      </x:c>
      <x:c r="N46" s="26" t="str">
        <x:v>https://novavendingmachine.com/products/new-2026-popcorn-vending-machine/</x:v>
      </x:c>
      <x:c r="O46" s="58" t="n">
        <x:v>46311</x:v>
      </x:c>
      <x:c r="P46" s="26" t="str">
        <x:v>7,500</x:v>
      </x:c>
    </x:row>
    <x:row r="47" ht="90" customHeight="1">
      <x:c r="A47" s="26" t="str">
        <x:v>PQ043</x:v>
      </x:c>
      <x:c r="B47" s="26" t="str">
        <x:v>خارج</x:v>
      </x:c>
      <x:c r="C47" s="26" t="str">
        <x:v>WebstaurantStore</x:v>
      </x:c>
      <x:c r="D47" s="26" t="str">
        <x:v>Carnival King PM850 120V</x:v>
      </x:c>
      <x:c r="E47" s="56" t="n">
        <x:v>184.99</x:v>
      </x:c>
      <x:c r="F47" s="56" t="n">
        <x:v>184.99</x:v>
      </x:c>
      <x:c r="G47" s="26" t="str">
        <x:v>USD</x:v>
      </x:c>
      <x:c r="H47" s="26" t="str">
        <x:v>دستگاه</x:v>
      </x:c>
      <x:c r="I47" s="26" t="str">
        <x:v>خرید یک‌باره؛ قرارداد نهایی بررسی نشده</x:v>
      </x:c>
      <x:c r="J47" s="26" t="str">
        <x:v>پاپ‌کورن‌ساز اپراتوری؛ پرداخت و توزیع خودکار ندارد</x:v>
      </x:c>
      <x:c r="K47" s="26" t="str">
        <x:v>سرنخ قیمت؛ مقایسه غیرهم‌رده</x:v>
      </x:c>
      <x:c r="L47" s="26" t="str">
        <x:v>تأیید مستقل موجودی انجام نشده</x:v>
      </x:c>
      <x:c r="M47" s="26" t="str">
        <x:v>حمل، نصب، اتصال، مالیات و پشتیبانیِ پروژه احراز نشده‌اند.</x:v>
      </x:c>
      <x:c r="N47" s="26" t="str">
        <x:v>https://www.webstaurantstore.com/carnival-king-pm850-8-oz-popcorn-machine-popper-120v-850w/382PM850.html</x:v>
      </x:c>
      <x:c r="O47" s="58" t="n">
        <x:v>46311</x:v>
      </x:c>
      <x:c r="P47" s="26" t="str">
        <x:v>184.99</x:v>
      </x:c>
    </x:row>
    <x:row r="48" ht="90" customHeight="1">
      <x:c r="A48" s="26" t="str">
        <x:v>PQ044</x:v>
      </x:c>
      <x:c r="B48" s="26" t="str">
        <x:v>خارج</x:v>
      </x:c>
      <x:c r="C48" s="26" t="str">
        <x:v>RobotLAB</x:v>
      </x:c>
      <x:c r="D48" s="26" t="str">
        <x:v>CenoBots L3</x:v>
      </x:c>
      <x:c r="E48" s="56" t="n">
        <x:v>24000</x:v>
      </x:c>
      <x:c r="F48" s="56" t="n">
        <x:v>24000</x:v>
      </x:c>
      <x:c r="G48" s="26" t="str">
        <x:v>USD</x:v>
      </x:c>
      <x:c r="H48" s="26" t="str">
        <x:v>دستگاه</x:v>
      </x:c>
      <x:c r="I48" s="26" t="str">
        <x:v>خرید یک‌باره؛ قرارداد نهایی بررسی نشده</x:v>
      </x:c>
      <x:c r="J48" s="26" t="str">
        <x:v>قیمت شروع خرید</x:v>
      </x:c>
      <x:c r="K48" s="26" t="str">
        <x:v>قیمت عمومی مشاهده‌شده</x:v>
      </x:c>
      <x:c r="L48" s="26" t="str">
        <x:v>تأیید مستقل موجودی انجام نشده</x:v>
      </x:c>
      <x:c r="M48" s="26" t="str">
        <x:v>حمل، نصب، اتصال، مالیات و پشتیبانیِ پروژه احراز نشده‌اند.</x:v>
      </x:c>
      <x:c r="N48" s="26" t="str">
        <x:v>https://www.robotlab.com/store/category/cleaning/</x:v>
      </x:c>
      <x:c r="O48" s="58" t="n">
        <x:v>46311</x:v>
      </x:c>
      <x:c r="P48" s="26" t="str">
        <x:v>24,000</x:v>
      </x:c>
    </x:row>
    <x:row r="49" ht="90" customHeight="1">
      <x:c r="A49" s="26" t="str">
        <x:v>PQ045</x:v>
      </x:c>
      <x:c r="B49" s="26" t="str">
        <x:v>خارج</x:v>
      </x:c>
      <x:c r="C49" s="26" t="str">
        <x:v>RobotLAB</x:v>
      </x:c>
      <x:c r="D49" s="26" t="str">
        <x:v>CenoBots L4</x:v>
      </x:c>
      <x:c r="E49" s="56" t="n">
        <x:v>35833</x:v>
      </x:c>
      <x:c r="F49" s="56" t="n">
        <x:v>35833</x:v>
      </x:c>
      <x:c r="G49" s="26" t="str">
        <x:v>USD</x:v>
      </x:c>
      <x:c r="H49" s="26" t="str">
        <x:v>دستگاه</x:v>
      </x:c>
      <x:c r="I49" s="26" t="str">
        <x:v>خرید یک‌باره؛ قرارداد نهایی بررسی نشده</x:v>
      </x:c>
      <x:c r="J49" s="26" t="str">
        <x:v>قیمت شروع خرید</x:v>
      </x:c>
      <x:c r="K49" s="26" t="str">
        <x:v>قیمت عمومی مشاهده‌شده</x:v>
      </x:c>
      <x:c r="L49" s="26" t="str">
        <x:v>تأیید مستقل موجودی انجام نشده</x:v>
      </x:c>
      <x:c r="M49" s="26" t="str">
        <x:v>حمل، نصب، اتصال، مالیات و پشتیبانیِ پروژه احراز نشده‌اند.</x:v>
      </x:c>
      <x:c r="N49" s="26" t="str">
        <x:v>https://www.robotlab.com/store/category/cleaning/</x:v>
      </x:c>
      <x:c r="O49" s="58" t="n">
        <x:v>46311</x:v>
      </x:c>
      <x:c r="P49" s="26" t="str">
        <x:v>35,833</x:v>
      </x:c>
    </x:row>
    <x:row r="50" ht="90" customHeight="1">
      <x:c r="A50" s="26" t="str">
        <x:v>PQ046</x:v>
      </x:c>
      <x:c r="B50" s="26" t="str">
        <x:v>خارج</x:v>
      </x:c>
      <x:c r="C50" s="26" t="str">
        <x:v>RobotLAB</x:v>
      </x:c>
      <x:c r="D50" s="26" t="str">
        <x:v>CenoBots L4 RaaS</x:v>
      </x:c>
      <x:c r="E50" s="56" t="n">
        <x:v>999</x:v>
      </x:c>
      <x:c r="F50" s="56" t="n">
        <x:v>999</x:v>
      </x:c>
      <x:c r="G50" s="26" t="str">
        <x:v>USD</x:v>
      </x:c>
      <x:c r="H50" s="26" t="str">
        <x:v>دستگاه/ماه</x:v>
      </x:c>
      <x:c r="I50" s="26" t="str">
        <x:v>تعهد۳۶ماهه</x:v>
      </x:c>
      <x:c r="J50" s="26" t="str">
        <x:v>خدمت/قرارداد؛ مالکیت و شاملات باید بررسی شوند</x:v>
      </x:c>
      <x:c r="K50" s="26" t="str">
        <x:v>قیمت عمومی مشاهده‌شده</x:v>
      </x:c>
      <x:c r="L50" s="26" t="str">
        <x:v>تأیید مستقل موجودی انجام نشده</x:v>
      </x:c>
      <x:c r="M50" s="26" t="str">
        <x:v>حمل، نصب، اتصال، مالیات و پشتیبانیِ پروژه احراز نشده‌اند.</x:v>
      </x:c>
      <x:c r="N50" s="26" t="str">
        <x:v>https://www.robotlab.com/store/category/cleaning/</x:v>
      </x:c>
      <x:c r="O50" s="58" t="n">
        <x:v>46311</x:v>
      </x:c>
      <x:c r="P50" s="26" t="str">
        <x:v>999</x:v>
      </x:c>
    </x:row>
    <x:row r="51" ht="90" customHeight="1">
      <x:c r="A51" s="26" t="str">
        <x:v>PQ047</x:v>
      </x:c>
      <x:c r="B51" s="26" t="str">
        <x:v>خارج</x:v>
      </x:c>
      <x:c r="C51" s="26" t="str">
        <x:v>Yodeck</x:v>
      </x:c>
      <x:c r="D51" s="26" t="str">
        <x:v>Basic</x:v>
      </x:c>
      <x:c r="E51" s="56" t="n">
        <x:v>8</x:v>
      </x:c>
      <x:c r="F51" s="56" t="n">
        <x:v>8</x:v>
      </x:c>
      <x:c r="G51" s="26" t="str">
        <x:v>USD</x:v>
      </x:c>
      <x:c r="H51" s="26" t="str">
        <x:v>نمایشگر/ماه</x:v>
      </x:c>
      <x:c r="I51" s="26" t="str">
        <x:v>ماهانه یا معادل ماهانه سالانه؛ پلیر تابع طرح سالانه</x:v>
      </x:c>
      <x:c r="J51" s="26" t="str">
        <x:v>ساینیج نرم‌افزاری</x:v>
      </x:c>
      <x:c r="K51" s="26" t="str">
        <x:v>قیمت عمومی مشاهده‌شده</x:v>
      </x:c>
      <x:c r="L51" s="26" t="str">
        <x:v>تأیید مستقل موجودی انجام نشده</x:v>
      </x:c>
      <x:c r="M51" s="26" t="str">
        <x:v>خود نمایشگر، تولید محتوا، اتصال سفارشی و مالیات جدا</x:v>
      </x:c>
      <x:c r="N51" s="26" t="str">
        <x:v>https://www.yodeck.com/pricing/</x:v>
      </x:c>
      <x:c r="O51" s="58" t="n">
        <x:v>46311</x:v>
      </x:c>
      <x:c r="P51" s="26" t="str">
        <x:v>8</x:v>
      </x:c>
    </x:row>
    <x:row r="52" ht="90" customHeight="1">
      <x:c r="A52" s="26" t="str">
        <x:v>PQ048</x:v>
      </x:c>
      <x:c r="B52" s="26" t="str">
        <x:v>خارج</x:v>
      </x:c>
      <x:c r="C52" s="26" t="str">
        <x:v>Yodeck</x:v>
      </x:c>
      <x:c r="D52" s="26" t="str">
        <x:v>Premium</x:v>
      </x:c>
      <x:c r="E52" s="56" t="n">
        <x:v>12</x:v>
      </x:c>
      <x:c r="F52" s="56" t="n">
        <x:v>12</x:v>
      </x:c>
      <x:c r="G52" s="26" t="str">
        <x:v>USD</x:v>
      </x:c>
      <x:c r="H52" s="26" t="str">
        <x:v>نمایشگر/ماه</x:v>
      </x:c>
      <x:c r="I52" s="26" t="str">
        <x:v>ماهانه یا معادل ماهانه سالانه؛ پلیر تابع طرح سالانه</x:v>
      </x:c>
      <x:c r="J52" s="26" t="str">
        <x:v>ساینیج نرم‌افزاری</x:v>
      </x:c>
      <x:c r="K52" s="26" t="str">
        <x:v>قیمت عمومی مشاهده‌شده</x:v>
      </x:c>
      <x:c r="L52" s="26" t="str">
        <x:v>تأیید مستقل موجودی انجام نشده</x:v>
      </x:c>
      <x:c r="M52" s="26" t="str">
        <x:v>خود نمایشگر، تولید محتوا، اتصال سفارشی و مالیات جدا</x:v>
      </x:c>
      <x:c r="N52" s="26" t="str">
        <x:v>https://www.yodeck.com/pricing/</x:v>
      </x:c>
      <x:c r="O52" s="58" t="n">
        <x:v>46311</x:v>
      </x:c>
      <x:c r="P52" s="26" t="str">
        <x:v>12</x:v>
      </x:c>
    </x:row>
    <x:row r="53" ht="90" customHeight="1">
      <x:c r="A53" s="26" t="str">
        <x:v>PQ049</x:v>
      </x:c>
      <x:c r="B53" s="26" t="str">
        <x:v>خارج</x:v>
      </x:c>
      <x:c r="C53" s="26" t="str">
        <x:v>Yodeck</x:v>
      </x:c>
      <x:c r="D53" s="26" t="str">
        <x:v>Enterprise</x:v>
      </x:c>
      <x:c r="E53" s="56" t="n">
        <x:v>16</x:v>
      </x:c>
      <x:c r="F53" s="56" t="n">
        <x:v>16</x:v>
      </x:c>
      <x:c r="G53" s="26" t="str">
        <x:v>USD</x:v>
      </x:c>
      <x:c r="H53" s="26" t="str">
        <x:v>نمایشگر/ماه</x:v>
      </x:c>
      <x:c r="I53" s="26" t="str">
        <x:v>ماهانه یا معادل ماهانه سالانه؛ پلیر تابع طرح سالانه</x:v>
      </x:c>
      <x:c r="J53" s="26" t="str">
        <x:v>ساینیج نرم‌افزاری</x:v>
      </x:c>
      <x:c r="K53" s="26" t="str">
        <x:v>قیمت عمومی مشاهده‌شده</x:v>
      </x:c>
      <x:c r="L53" s="26" t="str">
        <x:v>تأیید مستقل موجودی انجام نشده</x:v>
      </x:c>
      <x:c r="M53" s="26" t="str">
        <x:v>خود نمایشگر، تولید محتوا، اتصال سفارشی و مالیات جدا</x:v>
      </x:c>
      <x:c r="N53" s="26" t="str">
        <x:v>https://www.yodeck.com/pricing/</x:v>
      </x:c>
      <x:c r="O53" s="58" t="n">
        <x:v>46311</x:v>
      </x:c>
      <x:c r="P53" s="26" t="str">
        <x:v>16</x:v>
      </x:c>
    </x:row>
    <x:row r="54" ht="90" customHeight="1">
      <x:c r="A54" s="26" t="str">
        <x:v>PQ050</x:v>
      </x:c>
      <x:c r="B54" s="26" t="str">
        <x:v>خارج</x:v>
      </x:c>
      <x:c r="C54" s="26" t="str">
        <x:v>Deputy</x:v>
      </x:c>
      <x:c r="D54" s="26" t="str">
        <x:v>Lite</x:v>
      </x:c>
      <x:c r="E54" s="56" t="n">
        <x:v>5</x:v>
      </x:c>
      <x:c r="F54" s="56" t="n">
        <x:v>5</x:v>
      </x:c>
      <x:c r="G54" s="26" t="str">
        <x:v>USD</x:v>
      </x:c>
      <x:c r="H54" s="26" t="str">
        <x:v>کاربر/ماه</x:v>
      </x:c>
      <x:c r="I54" s="26" t="str">
        <x:v>حداقل صورتحساب و تعهد پلن کنترل شود</x:v>
      </x:c>
      <x:c r="J54" s="26" t="str">
        <x:v>زمان‌بندی و مدیریت نیروی کار؛ قواعد ایران/حقوق محلی نه</x:v>
      </x:c>
      <x:c r="K54" s="26" t="str">
        <x:v>قیمت عمومی مشاهده‌شده</x:v>
      </x:c>
      <x:c r="L54" s="26" t="str">
        <x:v>تأیید مستقل موجودی انجام نشده</x:v>
      </x:c>
      <x:c r="M54" s="26" t="str">
        <x:v>HR/حقوق و دستمزد و توسعه قواعد داخلی ممکن است جدا باشد</x:v>
      </x:c>
      <x:c r="N54" s="26" t="str">
        <x:v>https://www.deputy.com/pricing</x:v>
      </x:c>
      <x:c r="O54" s="58" t="n">
        <x:v>46311</x:v>
      </x:c>
      <x:c r="P54" s="26" t="str">
        <x:v>5</x:v>
      </x:c>
    </x:row>
    <x:row r="55" ht="90" customHeight="1">
      <x:c r="A55" s="26" t="str">
        <x:v>PQ051</x:v>
      </x:c>
      <x:c r="B55" s="26" t="str">
        <x:v>خارج</x:v>
      </x:c>
      <x:c r="C55" s="26" t="str">
        <x:v>Deputy</x:v>
      </x:c>
      <x:c r="D55" s="26" t="str">
        <x:v>Core</x:v>
      </x:c>
      <x:c r="E55" s="56" t="n">
        <x:v>6.5</x:v>
      </x:c>
      <x:c r="F55" s="56" t="n">
        <x:v>6.5</x:v>
      </x:c>
      <x:c r="G55" s="26" t="str">
        <x:v>USD</x:v>
      </x:c>
      <x:c r="H55" s="26" t="str">
        <x:v>کاربر/ماه</x:v>
      </x:c>
      <x:c r="I55" s="26" t="str">
        <x:v>حداقل صورتحساب و تعهد پلن کنترل شود</x:v>
      </x:c>
      <x:c r="J55" s="26" t="str">
        <x:v>زمان‌بندی و مدیریت نیروی کار؛ قواعد ایران/حقوق محلی نه</x:v>
      </x:c>
      <x:c r="K55" s="26" t="str">
        <x:v>قیمت عمومی مشاهده‌شده</x:v>
      </x:c>
      <x:c r="L55" s="26" t="str">
        <x:v>تأیید مستقل موجودی انجام نشده</x:v>
      </x:c>
      <x:c r="M55" s="26" t="str">
        <x:v>HR/حقوق و دستمزد و توسعه قواعد داخلی ممکن است جدا باشد</x:v>
      </x:c>
      <x:c r="N55" s="26" t="str">
        <x:v>https://www.deputy.com/pricing</x:v>
      </x:c>
      <x:c r="O55" s="58" t="n">
        <x:v>46311</x:v>
      </x:c>
      <x:c r="P55" s="26" t="str">
        <x:v>6.5</x:v>
      </x:c>
    </x:row>
    <x:row r="56" ht="90" customHeight="1">
      <x:c r="A56" s="26" t="str">
        <x:v>PQ052</x:v>
      </x:c>
      <x:c r="B56" s="26" t="str">
        <x:v>خارج</x:v>
      </x:c>
      <x:c r="C56" s="26" t="str">
        <x:v>Deputy</x:v>
      </x:c>
      <x:c r="D56" s="26" t="str">
        <x:v>Pro</x:v>
      </x:c>
      <x:c r="E56" s="56" t="n">
        <x:v>9</x:v>
      </x:c>
      <x:c r="F56" s="56" t="n">
        <x:v>9</x:v>
      </x:c>
      <x:c r="G56" s="26" t="str">
        <x:v>USD</x:v>
      </x:c>
      <x:c r="H56" s="26" t="str">
        <x:v>کاربر/ماه</x:v>
      </x:c>
      <x:c r="I56" s="26" t="str">
        <x:v>حداقل صورتحساب و تعهد پلن کنترل شود</x:v>
      </x:c>
      <x:c r="J56" s="26" t="str">
        <x:v>زمان‌بندی و مدیریت نیروی کار؛ قواعد ایران/حقوق محلی نه</x:v>
      </x:c>
      <x:c r="K56" s="26" t="str">
        <x:v>قیمت عمومی مشاهده‌شده</x:v>
      </x:c>
      <x:c r="L56" s="26" t="str">
        <x:v>تأیید مستقل موجودی انجام نشده</x:v>
      </x:c>
      <x:c r="M56" s="26" t="str">
        <x:v>HR/حقوق و دستمزد و توسعه قواعد داخلی ممکن است جدا باشد</x:v>
      </x:c>
      <x:c r="N56" s="26" t="str">
        <x:v>https://www.deputy.com/pricing</x:v>
      </x:c>
      <x:c r="O56" s="58" t="n">
        <x:v>46311</x:v>
      </x:c>
      <x:c r="P56" s="26" t="str">
        <x:v>9</x:v>
      </x:c>
    </x:row>
    <x:row r="57" ht="90" customHeight="1">
      <x:c r="A57" s="26" t="str">
        <x:v>PQ053</x:v>
      </x:c>
      <x:c r="B57" s="26" t="str">
        <x:v>خارج</x:v>
      </x:c>
      <x:c r="C57" s="26" t="str">
        <x:v>Microsoft</x:v>
      </x:c>
      <x:c r="D57" s="26" t="str">
        <x:v>Power BI Pro</x:v>
      </x:c>
      <x:c r="E57" s="56" t="n">
        <x:v>14</x:v>
      </x:c>
      <x:c r="F57" s="56" t="n">
        <x:v>14</x:v>
      </x:c>
      <x:c r="G57" s="26" t="str">
        <x:v>USD</x:v>
      </x:c>
      <x:c r="H57" s="26" t="str">
        <x:v>کاربر/ماه</x:v>
      </x:c>
      <x:c r="I57" s="26" t="str">
        <x:v>پرداخت سالانه</x:v>
      </x:c>
      <x:c r="J57" s="26" t="str">
        <x:v>مجوز کاربر</x:v>
      </x:c>
      <x:c r="K57" s="26" t="str">
        <x:v>قیمت عمومی مشاهده‌شده</x:v>
      </x:c>
      <x:c r="L57" s="26" t="str">
        <x:v>تأیید مستقل موجودی انجام نشده</x:v>
      </x:c>
      <x:c r="M57" s="26" t="str">
        <x:v>توسعه داشبورد/داده، ظرفیت و مالیات شامل نیست</x:v>
      </x:c>
      <x:c r="N57" s="26" t="str">
        <x:v>https://www.microsoft.com/en-us/power-platform/products/power-bi/pricing</x:v>
      </x:c>
      <x:c r="O57" s="58" t="n">
        <x:v>46311</x:v>
      </x:c>
      <x:c r="P57" s="26" t="str">
        <x:v>14</x:v>
      </x:c>
    </x:row>
    <x:row r="58" ht="90" customHeight="1">
      <x:c r="A58" s="26" t="str">
        <x:v>PQ054</x:v>
      </x:c>
      <x:c r="B58" s="26" t="str">
        <x:v>خارج</x:v>
      </x:c>
      <x:c r="C58" s="26" t="str">
        <x:v>Microsoft</x:v>
      </x:c>
      <x:c r="D58" s="26" t="str">
        <x:v>Power BI Premium Per User</x:v>
      </x:c>
      <x:c r="E58" s="56" t="n">
        <x:v>24</x:v>
      </x:c>
      <x:c r="F58" s="56" t="n">
        <x:v>24</x:v>
      </x:c>
      <x:c r="G58" s="26" t="str">
        <x:v>USD</x:v>
      </x:c>
      <x:c r="H58" s="26" t="str">
        <x:v>کاربر/ماه</x:v>
      </x:c>
      <x:c r="I58" s="26" t="str">
        <x:v>پرداخت سالانه</x:v>
      </x:c>
      <x:c r="J58" s="26" t="str">
        <x:v>مجوز کاربر</x:v>
      </x:c>
      <x:c r="K58" s="26" t="str">
        <x:v>قیمت عمومی مشاهده‌شده</x:v>
      </x:c>
      <x:c r="L58" s="26" t="str">
        <x:v>تأیید مستقل موجودی انجام نشده</x:v>
      </x:c>
      <x:c r="M58" s="26" t="str">
        <x:v>توسعه داشبورد/داده، ظرفیت و مالیات شامل نیست</x:v>
      </x:c>
      <x:c r="N58" s="26" t="str">
        <x:v>https://www.microsoft.com/en-us/power-platform/products/power-bi/pricing</x:v>
      </x:c>
      <x:c r="O58" s="58" t="n">
        <x:v>46311</x:v>
      </x:c>
      <x:c r="P58" s="26" t="str">
        <x:v>24</x:v>
      </x:c>
    </x:row>
    <x:row r="59" ht="90" customHeight="1">
      <x:c r="A59" s="26" t="str">
        <x:v>PQ055</x:v>
      </x:c>
      <x:c r="B59" s="26" t="str">
        <x:v>خارج</x:v>
      </x:c>
      <x:c r="C59" s="26" t="str">
        <x:v>Freshworks</x:v>
      </x:c>
      <x:c r="D59" s="26" t="str">
        <x:v>Growth</x:v>
      </x:c>
      <x:c r="E59" s="56" t="n">
        <x:v>19</x:v>
      </x:c>
      <x:c r="F59" s="56" t="n">
        <x:v>19</x:v>
      </x:c>
      <x:c r="G59" s="26" t="str">
        <x:v>USD</x:v>
      </x:c>
      <x:c r="H59" s="26" t="str">
        <x:v>اپراتور/ماه</x:v>
      </x:c>
      <x:c r="I59" s="26" t="str">
        <x:v>صورتحساب سالانه</x:v>
      </x:c>
      <x:c r="J59" s="26" t="str">
        <x:v>نرم‌افزار پشتیبانی</x:v>
      </x:c>
      <x:c r="K59" s="26" t="str">
        <x:v>قیمت عمومی مشاهده‌شده</x:v>
      </x:c>
      <x:c r="L59" s="26" t="str">
        <x:v>تأیید مستقل موجودی انجام نشده</x:v>
      </x:c>
      <x:c r="M59" s="26" t="str">
        <x:v>اتصال مرجوعی/پرداخت، AI افزوده و آموزش جدا</x:v>
      </x:c>
      <x:c r="N59" s="26" t="str">
        <x:v>https://www.freshworks.com/freshdesk/pricing/</x:v>
      </x:c>
      <x:c r="O59" s="58" t="n">
        <x:v>46311</x:v>
      </x:c>
      <x:c r="P59" s="26" t="str">
        <x:v>19</x:v>
      </x:c>
    </x:row>
    <x:row r="60" ht="90" customHeight="1">
      <x:c r="A60" s="26" t="str">
        <x:v>PQ056</x:v>
      </x:c>
      <x:c r="B60" s="26" t="str">
        <x:v>خارج</x:v>
      </x:c>
      <x:c r="C60" s="26" t="str">
        <x:v>Freshworks</x:v>
      </x:c>
      <x:c r="D60" s="26" t="str">
        <x:v>Pro</x:v>
      </x:c>
      <x:c r="E60" s="56" t="n">
        <x:v>55</x:v>
      </x:c>
      <x:c r="F60" s="56" t="n">
        <x:v>55</x:v>
      </x:c>
      <x:c r="G60" s="26" t="str">
        <x:v>USD</x:v>
      </x:c>
      <x:c r="H60" s="26" t="str">
        <x:v>اپراتور/ماه</x:v>
      </x:c>
      <x:c r="I60" s="26" t="str">
        <x:v>صورتحساب سالانه</x:v>
      </x:c>
      <x:c r="J60" s="26" t="str">
        <x:v>نرم‌افزار پشتیبانی</x:v>
      </x:c>
      <x:c r="K60" s="26" t="str">
        <x:v>قیمت عمومی مشاهده‌شده</x:v>
      </x:c>
      <x:c r="L60" s="26" t="str">
        <x:v>تأیید مستقل موجودی انجام نشده</x:v>
      </x:c>
      <x:c r="M60" s="26" t="str">
        <x:v>اتصال مرجوعی/پرداخت، AI افزوده و آموزش جدا</x:v>
      </x:c>
      <x:c r="N60" s="26" t="str">
        <x:v>https://www.freshworks.com/freshdesk/pricing/</x:v>
      </x:c>
      <x:c r="O60" s="58" t="n">
        <x:v>46311</x:v>
      </x:c>
      <x:c r="P60" s="26" t="str">
        <x:v>55</x:v>
      </x:c>
    </x:row>
    <x:row r="61" ht="90" customHeight="1">
      <x:c r="A61" s="26" t="str">
        <x:v>PQ057</x:v>
      </x:c>
      <x:c r="B61" s="26" t="str">
        <x:v>خارج</x:v>
      </x:c>
      <x:c r="C61" s="26" t="str">
        <x:v>Freshworks</x:v>
      </x:c>
      <x:c r="D61" s="26" t="str">
        <x:v>Enterprise</x:v>
      </x:c>
      <x:c r="E61" s="56" t="n">
        <x:v>89</x:v>
      </x:c>
      <x:c r="F61" s="56" t="n">
        <x:v>89</x:v>
      </x:c>
      <x:c r="G61" s="26" t="str">
        <x:v>USD</x:v>
      </x:c>
      <x:c r="H61" s="26" t="str">
        <x:v>اپراتور/ماه</x:v>
      </x:c>
      <x:c r="I61" s="26" t="str">
        <x:v>صورتحساب سالانه</x:v>
      </x:c>
      <x:c r="J61" s="26" t="str">
        <x:v>نرم‌افزار پشتیبانی</x:v>
      </x:c>
      <x:c r="K61" s="26" t="str">
        <x:v>قیمت عمومی مشاهده‌شده</x:v>
      </x:c>
      <x:c r="L61" s="26" t="str">
        <x:v>تأیید مستقل موجودی انجام نشده</x:v>
      </x:c>
      <x:c r="M61" s="26" t="str">
        <x:v>اتصال مرجوعی/پرداخت، AI افزوده و آموزش جدا</x:v>
      </x:c>
      <x:c r="N61" s="26" t="str">
        <x:v>https://www.freshworks.com/freshdesk/pricing/</x:v>
      </x:c>
      <x:c r="O61" s="58" t="n">
        <x:v>46311</x:v>
      </x:c>
      <x:c r="P61" s="26" t="str">
        <x:v>89</x:v>
      </x:c>
    </x:row>
    <x:row r="62" ht="90" customHeight="1">
      <x:c r="A62" s="26" t="str">
        <x:v>PQ058</x:v>
      </x:c>
      <x:c r="B62" s="26" t="str">
        <x:v>خارج</x:v>
      </x:c>
      <x:c r="C62" s="26" t="str">
        <x:v>Chatwoot</x:v>
      </x:c>
      <x:c r="D62" s="26" t="str">
        <x:v>Startups</x:v>
      </x:c>
      <x:c r="E62" s="56" t="n">
        <x:v>19</x:v>
      </x:c>
      <x:c r="F62" s="56" t="n">
        <x:v>19</x:v>
      </x:c>
      <x:c r="G62" s="26" t="str">
        <x:v>USD</x:v>
      </x:c>
      <x:c r="H62" s="26" t="str">
        <x:v>اپراتور/ماه</x:v>
      </x:c>
      <x:c r="I62" s="26" t="str">
        <x:v>ماهانه طبق نمایش صفحه؛ شرایط قرارداد بررسی شود</x:v>
      </x:c>
      <x:c r="J62" s="26" t="str">
        <x:v>پلن Cloud</x:v>
      </x:c>
      <x:c r="K62" s="26" t="str">
        <x:v>قیمت عمومی مشاهده‌شده</x:v>
      </x:c>
      <x:c r="L62" s="26" t="str">
        <x:v>تأیید مستقل موجودی انجام نشده</x:v>
      </x:c>
      <x:c r="M62" s="26" t="str">
        <x:v>اتصال ERP/POS و مصرف اضافه AI جدا</x:v>
      </x:c>
      <x:c r="N62" s="26" t="str">
        <x:v>https://www.chatwoot.com/pricing</x:v>
      </x:c>
      <x:c r="O62" s="58" t="n">
        <x:v>46311</x:v>
      </x:c>
      <x:c r="P62" s="26" t="str">
        <x:v>19</x:v>
      </x:c>
    </x:row>
    <x:row r="63" ht="90" customHeight="1">
      <x:c r="A63" s="26" t="str">
        <x:v>PQ059</x:v>
      </x:c>
      <x:c r="B63" s="26" t="str">
        <x:v>خارج</x:v>
      </x:c>
      <x:c r="C63" s="26" t="str">
        <x:v>Chatwoot</x:v>
      </x:c>
      <x:c r="D63" s="26" t="str">
        <x:v>Business</x:v>
      </x:c>
      <x:c r="E63" s="56" t="n">
        <x:v>39</x:v>
      </x:c>
      <x:c r="F63" s="56" t="n">
        <x:v>39</x:v>
      </x:c>
      <x:c r="G63" s="26" t="str">
        <x:v>USD</x:v>
      </x:c>
      <x:c r="H63" s="26" t="str">
        <x:v>اپراتور/ماه</x:v>
      </x:c>
      <x:c r="I63" s="26" t="str">
        <x:v>ماهانه طبق نمایش صفحه؛ شرایط قرارداد بررسی شود</x:v>
      </x:c>
      <x:c r="J63" s="26" t="str">
        <x:v>پلن Cloud</x:v>
      </x:c>
      <x:c r="K63" s="26" t="str">
        <x:v>قیمت عمومی مشاهده‌شده</x:v>
      </x:c>
      <x:c r="L63" s="26" t="str">
        <x:v>تأیید مستقل موجودی انجام نشده</x:v>
      </x:c>
      <x:c r="M63" s="26" t="str">
        <x:v>اتصال ERP/POS و مصرف اضافه AI جدا</x:v>
      </x:c>
      <x:c r="N63" s="26" t="str">
        <x:v>https://www.chatwoot.com/pricing</x:v>
      </x:c>
      <x:c r="O63" s="58" t="n">
        <x:v>46311</x:v>
      </x:c>
      <x:c r="P63" s="26" t="str">
        <x:v>39</x:v>
      </x:c>
    </x:row>
    <x:row r="64" ht="90" customHeight="1">
      <x:c r="A64" s="26" t="str">
        <x:v>PQ060</x:v>
      </x:c>
      <x:c r="B64" s="26" t="str">
        <x:v>خارج</x:v>
      </x:c>
      <x:c r="C64" s="26" t="str">
        <x:v>Chatwoot</x:v>
      </x:c>
      <x:c r="D64" s="26" t="str">
        <x:v>Enterprise</x:v>
      </x:c>
      <x:c r="E64" s="56" t="n">
        <x:v>99</x:v>
      </x:c>
      <x:c r="F64" s="56" t="n">
        <x:v>99</x:v>
      </x:c>
      <x:c r="G64" s="26" t="str">
        <x:v>USD</x:v>
      </x:c>
      <x:c r="H64" s="26" t="str">
        <x:v>اپراتور/ماه</x:v>
      </x:c>
      <x:c r="I64" s="26" t="str">
        <x:v>ماهانه طبق نمایش صفحه؛ شرایط قرارداد بررسی شود</x:v>
      </x:c>
      <x:c r="J64" s="26" t="str">
        <x:v>پلن Cloud</x:v>
      </x:c>
      <x:c r="K64" s="26" t="str">
        <x:v>قیمت عمومی مشاهده‌شده</x:v>
      </x:c>
      <x:c r="L64" s="26" t="str">
        <x:v>تأیید مستقل موجودی انجام نشده</x:v>
      </x:c>
      <x:c r="M64" s="26" t="str">
        <x:v>اتصال ERP/POS و مصرف اضافه AI جدا</x:v>
      </x:c>
      <x:c r="N64" s="26" t="str">
        <x:v>https://www.chatwoot.com/pricing</x:v>
      </x:c>
      <x:c r="O64" s="58" t="n">
        <x:v>46311</x:v>
      </x:c>
      <x:c r="P64" s="26" t="str">
        <x:v>99</x:v>
      </x:c>
    </x:row>
    <x:row r="65" ht="90" customHeight="1">
      <x:c r="A65" s="26" t="str">
        <x:v>PQ061</x:v>
      </x:c>
      <x:c r="B65" s="26" t="str">
        <x:v>خارج</x:v>
      </x:c>
      <x:c r="C65" s="26" t="str">
        <x:v>TalentLMS</x:v>
      </x:c>
      <x:c r="D65" s="26" t="str">
        <x:v>Core 1–40 users</x:v>
      </x:c>
      <x:c r="E65" s="56" t="n">
        <x:v>119</x:v>
      </x:c>
      <x:c r="F65" s="56" t="n">
        <x:v>119</x:v>
      </x:c>
      <x:c r="G65" s="26" t="str">
        <x:v>USD</x:v>
      </x:c>
      <x:c r="H65" s="26" t="str">
        <x:v>پلن/ماه</x:v>
      </x:c>
      <x:c r="I65" s="26" t="str">
        <x:v>حالت انتخابگر نیازمند تأیید</x:v>
      </x:c>
      <x:c r="J65" s="26" t="str">
        <x:v>LMS؛ ساخت محتوای فارسی و آموزش حضوری جدا</x:v>
      </x:c>
      <x:c r="K65" s="26" t="str">
        <x:v>قیمت با تعهد پرداخت نامعلوم</x:v>
      </x:c>
      <x:c r="L65" s="26" t="str">
        <x:v>تأیید مستقل موجودی انجام نشده</x:v>
      </x:c>
      <x:c r="M65" s="26" t="str">
        <x:v>حمل، نصب، اتصال، مالیات و پشتیبانیِ پروژه احراز نشده‌اند.</x:v>
      </x:c>
      <x:c r="N65" s="26" t="str">
        <x:v>https://www.talentlms.com/prices</x:v>
      </x:c>
      <x:c r="O65" s="58" t="n">
        <x:v>46311</x:v>
      </x:c>
      <x:c r="P65" s="26" t="str">
        <x:v>119</x:v>
      </x:c>
    </x:row>
    <x:row r="66" ht="90" customHeight="1">
      <x:c r="A66" s="26" t="str">
        <x:v>PQ062</x:v>
      </x:c>
      <x:c r="B66" s="26" t="str">
        <x:v>خارج</x:v>
      </x:c>
      <x:c r="C66" s="26" t="str">
        <x:v>Skyleds</x:v>
      </x:c>
      <x:c r="D66" s="26" t="str">
        <x:v>P6.25 Pro</x:v>
      </x:c>
      <x:c r="E66" s="56" t="n">
        <x:v>2606.1</x:v>
      </x:c>
      <x:c r="F66" s="56" t="n">
        <x:v>2606.1</x:v>
      </x:c>
      <x:c r="G66" s="26" t="str">
        <x:v>EUR</x:v>
      </x:c>
      <x:c r="H66" s="26" t="str">
        <x:v>مترمربع</x:v>
      </x:c>
      <x:c r="I66" s="26" t="str">
        <x:v>خرید یک‌باره</x:v>
      </x:c>
      <x:c r="J66" s="26" t="str">
        <x:v>نمایشگر و کنترلر/کابل طبق صفحه، مالیات آلمان شامل</x:v>
      </x:c>
      <x:c r="K66" s="26" t="str">
        <x:v>قیمت عمومی مشاهده‌شده</x:v>
      </x:c>
      <x:c r="L66" s="26" t="str">
        <x:v>تحویل مستقل تأیید نشده</x:v>
      </x:c>
      <x:c r="M66" s="26" t="str">
        <x:v>زیرسازی، نصب و قطعه اضافه جدا؛ حمل/واردات/مالیات ایران شامل نیست</x:v>
      </x:c>
      <x:c r="N66" s="26" t="str">
        <x:v>https://skyleds.de/shop/led-werbedisplays/transparentes-led-display/</x:v>
      </x:c>
      <x:c r="O66" s="58" t="n">
        <x:v>46311</x:v>
      </x:c>
      <x:c r="P66" s="26" t="str">
        <x:v>2606.1</x:v>
      </x:c>
    </x:row>
    <x:row r="67" ht="90" customHeight="1">
      <x:c r="A67" s="26" t="str">
        <x:v>PQ063</x:v>
      </x:c>
      <x:c r="B67" s="26" t="str">
        <x:v>خارج</x:v>
      </x:c>
      <x:c r="C67" s="26" t="str">
        <x:v>Skyleds</x:v>
      </x:c>
      <x:c r="D67" s="26" t="str">
        <x:v>P3.91 Standard</x:v>
      </x:c>
      <x:c r="E67" s="56" t="n">
        <x:v>3201.1</x:v>
      </x:c>
      <x:c r="F67" s="56" t="n">
        <x:v>3201.1</x:v>
      </x:c>
      <x:c r="G67" s="26" t="str">
        <x:v>EUR</x:v>
      </x:c>
      <x:c r="H67" s="26" t="str">
        <x:v>مترمربع</x:v>
      </x:c>
      <x:c r="I67" s="26" t="str">
        <x:v>خرید یک‌باره</x:v>
      </x:c>
      <x:c r="J67" s="26" t="str">
        <x:v>نمایشگر و کنترلر/کابل طبق صفحه، مالیات آلمان شامل</x:v>
      </x:c>
      <x:c r="K67" s="26" t="str">
        <x:v>قیمت عمومی مشاهده‌شده</x:v>
      </x:c>
      <x:c r="L67" s="26" t="str">
        <x:v>تحویل مستقل تأیید نشده</x:v>
      </x:c>
      <x:c r="M67" s="26" t="str">
        <x:v>زیرسازی، نصب و قطعه اضافه جدا؛ حمل/واردات/مالیات ایران شامل نیست</x:v>
      </x:c>
      <x:c r="N67" s="26" t="str">
        <x:v>https://skyleds.de/shop/led-werbedisplays/transparentes-led-display/</x:v>
      </x:c>
      <x:c r="O67" s="58" t="n">
        <x:v>46311</x:v>
      </x:c>
      <x:c r="P67" s="26" t="str">
        <x:v>3201.1</x:v>
      </x:c>
    </x:row>
    <x:row r="68" ht="90" customHeight="1">
      <x:c r="A68" s="26" t="str">
        <x:v>PQ064</x:v>
      </x:c>
      <x:c r="B68" s="26" t="str">
        <x:v>خارج</x:v>
      </x:c>
      <x:c r="C68" s="26" t="str">
        <x:v>Skyleds</x:v>
      </x:c>
      <x:c r="D68" s="26" t="str">
        <x:v>P3.91 Pro</x:v>
      </x:c>
      <x:c r="E68" s="56" t="n">
        <x:v>4153.1</x:v>
      </x:c>
      <x:c r="F68" s="56" t="n">
        <x:v>4153.1</x:v>
      </x:c>
      <x:c r="G68" s="26" t="str">
        <x:v>EUR</x:v>
      </x:c>
      <x:c r="H68" s="26" t="str">
        <x:v>مترمربع</x:v>
      </x:c>
      <x:c r="I68" s="26" t="str">
        <x:v>خرید یک‌باره</x:v>
      </x:c>
      <x:c r="J68" s="26" t="str">
        <x:v>نمایشگر و کنترلر/کابل طبق صفحه، مالیات آلمان شامل</x:v>
      </x:c>
      <x:c r="K68" s="26" t="str">
        <x:v>قیمت عمومی مشاهده‌شده</x:v>
      </x:c>
      <x:c r="L68" s="26" t="str">
        <x:v>تحویل مستقل تأیید نشده</x:v>
      </x:c>
      <x:c r="M68" s="26" t="str">
        <x:v>زیرسازی، نصب و قطعه اضافه جدا؛ حمل/واردات/مالیات ایران شامل نیست</x:v>
      </x:c>
      <x:c r="N68" s="26" t="str">
        <x:v>https://skyleds.de/shop/led-werbedisplays/transparentes-led-display/</x:v>
      </x:c>
      <x:c r="O68" s="58" t="n">
        <x:v>46311</x:v>
      </x:c>
      <x:c r="P68" s="26" t="str">
        <x:v>4153.1</x:v>
      </x:c>
    </x:row>
    <x:row r="69" ht="90" customHeight="1">
      <x:c r="A69" s="26" t="str">
        <x:v>PQ065</x:v>
      </x:c>
      <x:c r="B69" s="26" t="str">
        <x:v>خارج</x:v>
      </x:c>
      <x:c r="C69" s="26" t="str">
        <x:v>LUMOplay</x:v>
      </x:c>
      <x:c r="D69" s="26" t="str">
        <x:v>Playground</x:v>
      </x:c>
      <x:c r="E69" s="56" t="n">
        <x:v>263.11</x:v>
      </x:c>
      <x:c r="F69" s="56" t="n">
        <x:v>263.11</x:v>
      </x:c>
      <x:c r="G69" s="26" t="str">
        <x:v>$؛ نوع دلار تأییدنشده</x:v>
      </x:c>
      <x:c r="H69" s="26" t="str">
        <x:v>سیستم/سال</x:v>
      </x:c>
      <x:c r="I69" s="26" t="str">
        <x:v>سالانه</x:v>
      </x:c>
      <x:c r="J69" s="26" t="str">
        <x:v>مجوز نرم‌افزار</x:v>
      </x:c>
      <x:c r="K69" s="26" t="str">
        <x:v>قیمت با نوع ارز انتخابگر نامعلوم</x:v>
      </x:c>
      <x:c r="L69" s="26" t="str">
        <x:v>تحویل مستقل تأیید نشده</x:v>
      </x:c>
      <x:c r="M69" s="26" t="str">
        <x:v>رایانه، پروژکتور، دوربین، نصب و محتوای اختصاصی جدا</x:v>
      </x:c>
      <x:c r="N69" s="26" t="str">
        <x:v>https://www.lumoplay.com/software-pricing</x:v>
      </x:c>
      <x:c r="O69" s="58" t="n">
        <x:v>46311</x:v>
      </x:c>
      <x:c r="P69" s="26" t="str">
        <x:v>263.11</x:v>
      </x:c>
    </x:row>
    <x:row r="70" ht="90" customHeight="1">
      <x:c r="A70" s="26" t="str">
        <x:v>PQ066</x:v>
      </x:c>
      <x:c r="B70" s="26" t="str">
        <x:v>خارج</x:v>
      </x:c>
      <x:c r="C70" s="26" t="str">
        <x:v>LUMOplay</x:v>
      </x:c>
      <x:c r="D70" s="26" t="str">
        <x:v>Playmaker</x:v>
      </x:c>
      <x:c r="E70" s="56" t="n">
        <x:v>585.1</x:v>
      </x:c>
      <x:c r="F70" s="56" t="n">
        <x:v>585.1</x:v>
      </x:c>
      <x:c r="G70" s="26" t="str">
        <x:v>$؛ نوع دلار تأییدنشده</x:v>
      </x:c>
      <x:c r="H70" s="26" t="str">
        <x:v>سیستم/سال</x:v>
      </x:c>
      <x:c r="I70" s="26" t="str">
        <x:v>سالانه</x:v>
      </x:c>
      <x:c r="J70" s="26" t="str">
        <x:v>مجوز نرم‌افزار</x:v>
      </x:c>
      <x:c r="K70" s="26" t="str">
        <x:v>قیمت با نوع ارز انتخابگر نامعلوم</x:v>
      </x:c>
      <x:c r="L70" s="26" t="str">
        <x:v>تحویل مستقل تأیید نشده</x:v>
      </x:c>
      <x:c r="M70" s="26" t="str">
        <x:v>تجهیزات/نصب جدا</x:v>
      </x:c>
      <x:c r="N70" s="26" t="str">
        <x:v>https://www.lumoplay.com/software-pricing</x:v>
      </x:c>
      <x:c r="O70" s="58" t="n">
        <x:v>46311</x:v>
      </x:c>
      <x:c r="P70" s="26" t="str">
        <x:v>585.1</x:v>
      </x:c>
    </x:row>
    <x:row r="71" ht="90" customHeight="1">
      <x:c r="A71" s="26" t="str">
        <x:v>PQ067</x:v>
      </x:c>
      <x:c r="B71" s="26" t="str">
        <x:v>خارج</x:v>
      </x:c>
      <x:c r="C71" s="26" t="str">
        <x:v>LUMOplay</x:v>
      </x:c>
      <x:c r="D71" s="26" t="str">
        <x:v>اجزای کف تعاملی در راهنمای سازنده</x:v>
      </x:c>
      <x:c r="E71" s="56" t="n">
        <x:v>2000</x:v>
      </x:c>
      <x:c r="F71" s="56" t="n">
        <x:v>2500</x:v>
      </x:c>
      <x:c r="G71" s="26" t="str">
        <x:v>USD</x:v>
      </x:c>
      <x:c r="H71" s="26" t="str">
        <x:v>دستگاه</x:v>
      </x:c>
      <x:c r="I71" s="26" t="str">
        <x:v>خرید یک‌باره</x:v>
      </x:c>
      <x:c r="J71" s="26" t="str">
        <x:v>رایانه/حسگر۳بعدی/پروژکتور/پایه در راهنمای ساخت</x:v>
      </x:c>
      <x:c r="K71" s="26" t="str">
        <x:v>برآورد منتشرشده راهنما؛ نه پیش‌فاکتور جاری</x:v>
      </x:c>
      <x:c r="L71" s="26" t="str">
        <x:v>تحویل مستقل تأیید نشده</x:v>
      </x:c>
      <x:c r="M71" s="26" t="str">
        <x:v>مجوز نرم‌افزار، محتوای اختصاصی، نصب، مالیات و ایران</x:v>
      </x:c>
      <x:c r="N71" s="26" t="str">
        <x:v>https://help.lumoplay.com/hc/en-us/articles/360042794093-Portable-interactive-floor-guide</x:v>
      </x:c>
      <x:c r="O71" s="58" t="n">
        <x:v>46311</x:v>
      </x:c>
      <x:c r="P71" s="26" t="str">
        <x:v>2000</x:v>
      </x:c>
    </x:row>
  </x:sheetData>
  <x:mergeCells>
    <x:mergeCell ref="A1:P1"/>
    <x:mergeCell ref="A2:P2"/>
  </x:mergeCells>
  <x:pageMargins left="0.7" right="0.7" top="0.75" bottom="0.75" header="0.3" footer="0.3"/>
  <x:tableParts count="1">
    <x:tablePart xmlns:r="http://schemas.openxmlformats.org/officeDocument/2006/relationships" r:id="R9b200ea340824a2d"/>
  </x:tableParts>
</x:worksheet>
</file>

<file path=xl/worksheets/sheet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25" hidden="0" customWidth="1"/>
    <x:col min="3" max="3" width="45" hidden="0" customWidth="1"/>
    <x:col min="4" max="4" width="18" hidden="0" customWidth="1"/>
    <x:col min="5" max="5" width="60" hidden="0" customWidth="1"/>
    <x:col min="6" max="6" width="43" hidden="0" customWidth="1"/>
    <x:col min="7" max="7" width="67" hidden="0" customWidth="1"/>
    <x:col min="8" max="8" width="20" hidden="0" customWidth="1"/>
  </x:cols>
  <x:sheetData>
    <x:row r="1" ht="34" customHeight="1">
      <x:c r="A1" s="9" t="str">
        <x:v>۴۴ مرجع جدید — سطح دسترسی و محدودیت</x:v>
      </x:c>
      <x:c r="B1" s="9"/>
      <x:c r="C1" s="9"/>
      <x:c r="D1" s="9"/>
      <x:c r="E1" s="9"/>
      <x:c r="F1" s="9"/>
      <x:c r="G1" s="9"/>
      <x:c r="H1" s="9"/>
    </x:row>
    <x:row r="2" ht="42" customHeight="1">
      <x:c r="A2" s="14" t="str">
        <x:v>منبع اولیهِ قیمتِ خود فروشنده، شاهد مستقل سودآوری نیست. صفحات بازنشده یا جزئی، جدا علامت‌گذاری شده‌اند.</x:v>
      </x:c>
      <x:c r="B2" s="14"/>
      <x:c r="C2" s="14"/>
      <x:c r="D2" s="14"/>
      <x:c r="E2" s="14"/>
      <x:c r="F2" s="14"/>
      <x:c r="G2" s="14"/>
      <x:c r="H2" s="14"/>
    </x:row>
    <x:row r="3">
      <x:c r="A3" s="6"/>
      <x:c r="B3" s="6"/>
      <x:c r="C3" s="6"/>
      <x:c r="D3" s="6"/>
      <x:c r="E3" s="6"/>
      <x:c r="F3" s="6"/>
      <x:c r="G3" s="6"/>
      <x:c r="H3" s="6"/>
    </x:row>
    <x:row r="4" ht="42" customHeight="1">
      <x:c r="A4" s="21" t="str">
        <x:v>شناسه</x:v>
      </x:c>
      <x:c r="B4" s="21" t="str">
        <x:v>ناشر</x:v>
      </x:c>
      <x:c r="C4" s="21" t="str">
        <x:v>عنوان</x:v>
      </x:c>
      <x:c r="D4" s="21" t="str">
        <x:v>بازار</x:v>
      </x:c>
      <x:c r="E4" s="21" t="str">
        <x:v>نشانی</x:v>
      </x:c>
      <x:c r="F4" s="21" t="str">
        <x:v>سطح دسترسی</x:v>
      </x:c>
      <x:c r="G4" s="21" t="str">
        <x:v>یادداشت و محدودیت</x:v>
      </x:c>
      <x:c r="H4" s="21" t="str">
        <x:v>تاریخ مشاهده</x:v>
      </x:c>
    </x:row>
    <x:row r="5" ht="86" customHeight="1">
      <x:c r="A5" s="26" t="str">
        <x:v>PS001</x:v>
      </x:c>
      <x:c r="B5" s="26" t="str">
        <x:v>پایاپارس</x:v>
      </x:c>
      <x:c r="C5" s="26" t="str">
        <x:v>کاتالوگ پایاپارس؛ صفحه دوم</x:v>
      </x:c>
      <x:c r="D5" s="26" t="str">
        <x:v>ایران</x:v>
      </x:c>
      <x:c r="E5" s="26" t="str">
        <x:v>https://payapars.com/shop/page/2/</x:v>
      </x:c>
      <x:c r="F5" s="26" t="str">
        <x:v>صفحه/بخش مرتبط خوانده شد</x:v>
      </x:c>
      <x:c r="G5" s="26" t="str">
        <x:v>قیمت از ردیف نام‌دار محصول گرفته شده؛ .com با .ir خودکار یکی فرض نشده. سرنخ‌های نمایه قدیمی پاپ‌کورن ۶۸۰/۷۲۰ میلیون با کاتالوگ ۷۸۰/۸۴۰ تعارض دارند. تاریخ انتشار قالب سایت، تاریخ اعتبار قیمت نیست.</x:v>
      </x:c>
      <x:c r="H5" s="58" t="n">
        <x:v>46311</x:v>
      </x:c>
    </x:row>
    <x:row r="6" ht="86" customHeight="1">
      <x:c r="A6" s="26" t="str">
        <x:v>PS002</x:v>
      </x:c>
      <x:c r="B6" s="26" t="str">
        <x:v>پایاپارس</x:v>
      </x:c>
      <x:c r="C6" s="26" t="str">
        <x:v>کاتالوگ پایاپارس؛ صفحه سوم</x:v>
      </x:c>
      <x:c r="D6" s="26" t="str">
        <x:v>ایران</x:v>
      </x:c>
      <x:c r="E6" s="26" t="str">
        <x:v>https://payapars.com/shop/page/3/</x:v>
      </x:c>
      <x:c r="F6" s="26" t="str">
        <x:v>صفحه/بخش مرتبط خوانده شد</x:v>
      </x:c>
      <x:c r="G6" s="26" t="str">
        <x:v>قیمت عمومی فروشنده است؛ تحویل، تولید داخلی، مدل دقیق و خدمات باید در استعلام تأیید شوند. عکس یا عنوان نامرتبط در بعضی ردیف‌ها دلیل تطبیق با نام متن است.</x:v>
      </x:c>
      <x:c r="H6" s="58" t="n">
        <x:v>46311</x:v>
      </x:c>
    </x:row>
    <x:row r="7" ht="86" customHeight="1">
      <x:c r="A7" s="26" t="str">
        <x:v>PS003</x:v>
      </x:c>
      <x:c r="B7" s="26" t="str">
        <x:v>دانش‌آوران</x:v>
      </x:c>
      <x:c r="C7" s="26" t="str">
        <x:v>کیوسک لمسی پرداخت نوید</x:v>
      </x:c>
      <x:c r="D7" s="26" t="str">
        <x:v>ایران</x:v>
      </x:c>
      <x:c r="E7" s="26" t="str">
        <x:v>https://daneshavaran.ir/navid-touch-stand/</x:v>
      </x:c>
      <x:c r="F7" s="26" t="str">
        <x:v>صفحه/بخش مرتبط خوانده شد</x:v>
      </x:c>
      <x:c r="G7" s="26" t="str">
        <x:v>کیوسک پرداخت/سفارش با خودپرداخت کامل گروسری، کنترل وزن و یکپارچگی صندوق برابر نیست.</x:v>
      </x:c>
      <x:c r="H7" s="58" t="n">
        <x:v>46311</x:v>
      </x:c>
    </x:row>
    <x:row r="8" ht="86" customHeight="1">
      <x:c r="A8" s="26" t="str">
        <x:v>PS004</x:v>
      </x:c>
      <x:c r="B8" s="26" t="str">
        <x:v>دانش‌آوران</x:v>
      </x:c>
      <x:c r="C8" s="26" t="str">
        <x:v>استند لمسی ایستاده مدل آیفون</x:v>
      </x:c>
      <x:c r="D8" s="26" t="str">
        <x:v>ایران</x:v>
      </x:c>
      <x:c r="E8" s="26" t="str">
        <x:v>https://daneshavaran.ir/touch-stand-standing-model/</x:v>
      </x:c>
      <x:c r="F8" s="26" t="str">
        <x:v>صفحه/بخش مرتبط خوانده شد</x:v>
      </x:c>
      <x:c r="G8" s="26" t="str">
        <x:v>چند اندازه در انتخابگر وجود دارد؛ ۲۵۵میلیون قیمت نمایش اولیه است. بازه ۲۵۵–۳۳۵ در خروجی دیگر دیده شد، ولی انتساب همه پیکربندی‌ها احراز نشده.</x:v>
      </x:c>
      <x:c r="H8" s="58" t="n">
        <x:v>46311</x:v>
      </x:c>
    </x:row>
    <x:row r="9" ht="86" customHeight="1">
      <x:c r="A9" s="26" t="str">
        <x:v>PS005</x:v>
      </x:c>
      <x:c r="B9" s="26" t="str">
        <x:v>دانش‌آوران</x:v>
      </x:c>
      <x:c r="C9" s="26" t="str">
        <x:v>کیوسک چرخشی ۵۵ اینچ</x:v>
      </x:c>
      <x:c r="D9" s="26" t="str">
        <x:v>ایران</x:v>
      </x:c>
      <x:c r="E9" s="26" t="str">
        <x:v>https://daneshavaran.ir/rotating-kiosk/</x:v>
      </x:c>
      <x:c r="F9" s="26" t="str">
        <x:v>صفحه/بخش مرتبط خوانده شد</x:v>
      </x:c>
      <x:c r="G9" s="26" t="str"/>
      <x:c r="H9" s="58" t="n">
        <x:v>46311</x:v>
      </x:c>
    </x:row>
    <x:row r="10" ht="86" customHeight="1">
      <x:c r="A10" s="26" t="str">
        <x:v>PS006</x:v>
      </x:c>
      <x:c r="B10" s="26" t="str">
        <x:v>ارغوان سنت</x:v>
      </x:c>
      <x:c r="C10" s="26" t="str">
        <x:v>خوشبوکننده Mini 1</x:v>
      </x:c>
      <x:c r="D10" s="26" t="str">
        <x:v>ایران</x:v>
      </x:c>
      <x:c r="E10" s="26" t="str">
        <x:v>https://arghavanscent.ir/mini1/</x:v>
      </x:c>
      <x:c r="F10" s="26" t="str">
        <x:v>صفحه/بخش مرتبط خوانده شد</x:v>
      </x:c>
      <x:c r="G10" s="26" t="str">
        <x:v>متن ۳٬۵۰۰٬۰۰۰تومان و متادیتا ۳۵٬۰۰۰٬۰۰۰ریال با هم سازگارند. روغن و نصب در قیمت احراز نشده؛ پوشش یک هایپرمارکت از این مدل نتیجه نمی‌شود.</x:v>
      </x:c>
      <x:c r="H10" s="58" t="n">
        <x:v>46311</x:v>
      </x:c>
    </x:row>
    <x:row r="11" ht="86" customHeight="1">
      <x:c r="A11" s="26" t="str">
        <x:v>PS007</x:v>
      </x:c>
      <x:c r="B11" s="26" t="str">
        <x:v>ارغوان سنت</x:v>
      </x:c>
      <x:c r="C11" s="26" t="str">
        <x:v>سرنخ خوشبوکننده S1</x:v>
      </x:c>
      <x:c r="D11" s="26" t="str">
        <x:v>ایران</x:v>
      </x:c>
      <x:c r="E11" s="26" t="str">
        <x:v>https://arghavanscent.ir/دستگاه-خوشبو-کننده-s1/</x:v>
      </x:c>
      <x:c r="F11" s="26" t="str">
        <x:v>سرنخ قیمت در خروجی عامل؛ صفحه مستقیم باز نشد</x:v>
      </x:c>
      <x:c r="G11" s="26" t="str">
        <x:v>۸٫۵میلیون تومان فقط سرنخ باقی مانده؛ در بودجه تأییدشده جمع نشده.</x:v>
      </x:c>
      <x:c r="H11" s="58" t="n">
        <x:v>46311</x:v>
      </x:c>
    </x:row>
    <x:row r="12" ht="86" customHeight="1">
      <x:c r="A12" s="26" t="str">
        <x:v>PS008</x:v>
      </x:c>
      <x:c r="B12" s="26" t="str">
        <x:v>آتن</x:v>
      </x:c>
      <x:c r="C12" s="26" t="str">
        <x:v>فروشگاه لوگوپروژکتور آتن</x:v>
      </x:c>
      <x:c r="D12" s="26" t="str">
        <x:v>ایران</x:v>
      </x:c>
      <x:c r="E12" s="26" t="str">
        <x:v>https://atenprojector.com/shop/</x:v>
      </x:c>
      <x:c r="F12" s="26" t="str">
        <x:v>صفحه/بخش مرتبط خوانده شد</x:v>
      </x:c>
      <x:c r="G12" s="26" t="str">
        <x:v>مدل‌های دارای عبارت فروخته‌شد/اطلاعات بیشتر جدا ثبت شدند. بدون افکت با سیستم بازی تعاملی یکسان نیست.</x:v>
      </x:c>
      <x:c r="H12" s="58" t="n">
        <x:v>46311</x:v>
      </x:c>
    </x:row>
    <x:row r="13" ht="86" customHeight="1">
      <x:c r="A13" s="26" t="str">
        <x:v>PS009</x:v>
      </x:c>
      <x:c r="B13" s="26" t="str">
        <x:v>کارامید</x:v>
      </x:c>
      <x:c r="C13" s="26" t="str">
        <x:v>فهرست شارژرهای کارامید</x:v>
      </x:c>
      <x:c r="D13" s="26" t="str">
        <x:v>ایران</x:v>
      </x:c>
      <x:c r="E13" s="26" t="str">
        <x:v>https://caramid.ir/shop/</x:v>
      </x:c>
      <x:c r="F13" s="26" t="str">
        <x:v>صفحه/بخش مرتبط خوانده شد</x:v>
      </x:c>
      <x:c r="G13" s="26" t="str">
        <x:v>EMO۷کیلووات در متن ۵۷میلیون تومان، قبل از تخفیف۶۰میلیون. برداشت قبلی۵۷٫۵میلیون تصحیح شد. عنوان فروشنده «فست» به معنی شارژر DC تجاری نیست.</x:v>
      </x:c>
      <x:c r="H13" s="58" t="n">
        <x:v>46311</x:v>
      </x:c>
    </x:row>
    <x:row r="14" ht="86" customHeight="1">
      <x:c r="A14" s="26" t="str">
        <x:v>PS010</x:v>
      </x:c>
      <x:c r="B14" s="26" t="str">
        <x:v>ای‌مپنا</x:v>
      </x:c>
      <x:c r="C14" s="26" t="str">
        <x:v>سرنخ شارژر Afra AS2-22</x:v>
      </x:c>
      <x:c r="D14" s="26" t="str">
        <x:v>ایران</x:v>
      </x:c>
      <x:c r="E14" s="26" t="str">
        <x:v>https://www.emapna.com/store</x:v>
      </x:c>
      <x:c r="F14" s="26" t="str">
        <x:v>نمایه/عامل؛ صفحه مستقیم۴۰۳</x:v>
      </x:c>
      <x:c r="G14" s="26" t="str">
        <x:v>عدد۲۸۵میلیون تومان فقط سرنخ قیمت؛ اصالت/تحویل/نصب مستقلاً احراز نشد.</x:v>
      </x:c>
      <x:c r="H14" s="58" t="n">
        <x:v>46311</x:v>
      </x:c>
    </x:row>
    <x:row r="15" ht="86" customHeight="1">
      <x:c r="A15" s="26" t="str">
        <x:v>PS011</x:v>
      </x:c>
      <x:c r="B15" s="26" t="str">
        <x:v>KTG</x:v>
      </x:c>
      <x:c r="C15" s="26" t="str">
        <x:v>دیتالاگرهای دما و رطوبت</x:v>
      </x:c>
      <x:c r="D15" s="26" t="str">
        <x:v>ایران</x:v>
      </x:c>
      <x:c r="E15" s="26" t="str">
        <x:v>https://ktglabgroup.com/product/datalogger/</x:v>
      </x:c>
      <x:c r="F15" s="26" t="str">
        <x:v>صفحه/بخش مرتبط خوانده شد</x:v>
      </x:c>
      <x:c r="G15" s="26" t="str">
        <x:v>قیمت بالای صفحه۲۰٫۵میلیون مدل روشنی نداشت؛ به DS81/DS83 تعمیم داده نشد. ردیف‌های مدل و نرم‌افزار جدا نگه داشته شدند؛ کالیبراسیون و کاربری زنجیره سرد نیازمند تأیید.</x:v>
      </x:c>
      <x:c r="H15" s="58" t="n">
        <x:v>46311</x:v>
      </x:c>
    </x:row>
    <x:row r="16" ht="86" customHeight="1">
      <x:c r="A16" s="26" t="str">
        <x:v>PS012</x:v>
      </x:c>
      <x:c r="B16" s="26" t="str">
        <x:v>اتنسی</x:v>
      </x:c>
      <x:c r="C16" s="26" t="str">
        <x:v>تعرفه حضور و غیاب اتنسی</x:v>
      </x:c>
      <x:c r="D16" s="26" t="str">
        <x:v>ایران</x:v>
      </x:c>
      <x:c r="E16" s="26" t="str">
        <x:v>https://atency.com/</x:v>
      </x:c>
      <x:c r="F16" s="26" t="str">
        <x:v>صفحه/بخش مرتبط خوانده شد</x:v>
      </x:c>
      <x:c r="G16" s="26" t="str">
        <x:v>ثبت حضور و شیفت پایه؛ معادل برنامه‌ریزی بهینه و منصفانه تقاضامحور کل شبکه نیست. محدوده خدمت باید تطبیق داده شود.</x:v>
      </x:c>
      <x:c r="H16" s="58" t="n">
        <x:v>46311</x:v>
      </x:c>
    </x:row>
    <x:row r="17" ht="86" customHeight="1">
      <x:c r="A17" s="26" t="str">
        <x:v>PS013</x:v>
      </x:c>
      <x:c r="B17" s="26" t="str">
        <x:v>رایبرد</x:v>
      </x:c>
      <x:c r="C17" s="26" t="str">
        <x:v>تعرفه رایبرد</x:v>
      </x:c>
      <x:c r="D17" s="26" t="str">
        <x:v>ایران</x:v>
      </x:c>
      <x:c r="E17" s="26" t="str">
        <x:v>https://www.rayboard.ir/</x:v>
      </x:c>
      <x:c r="F17" s="26" t="str">
        <x:v>صفحه/بخش مرتبط خوانده شد</x:v>
      </x:c>
      <x:c r="G17" s="26" t="str">
        <x:v>قیمت به ازای نمایشگر آمده ولی مدت مجوز روشن نیست؛ با نرخ ماهانه خارجی مستقیم تقسیم نشود.</x:v>
      </x:c>
      <x:c r="H17" s="58" t="n">
        <x:v>46311</x:v>
      </x:c>
    </x:row>
    <x:row r="18" ht="86" customHeight="1">
      <x:c r="A18" s="26" t="str">
        <x:v>PS014</x:v>
      </x:c>
      <x:c r="B18" s="26" t="str">
        <x:v>پارسی‌بیت</x:v>
      </x:c>
      <x:c r="C18" s="26" t="str">
        <x:v>مجوز و پشتیبانی ساینیج پارسی‌بیت</x:v>
      </x:c>
      <x:c r="D18" s="26" t="str">
        <x:v>ایران</x:v>
      </x:c>
      <x:c r="E18" s="26" t="str">
        <x:v>https://parsibit.ir/digital-signage-solution/pricing/</x:v>
      </x:c>
      <x:c r="F18" s="26" t="str">
        <x:v>صفحه/بخش مرتبط خوانده شد</x:v>
      </x:c>
      <x:c r="G18" s="26" t="str">
        <x:v>عبارت۲۰میلیون در گزیده بدون واحد صریح؛ عدد نرمال‌شده وارد دفتر نشد. دائمی‌بودن لایسنس، کلاینت ویندوزی هر نمایشگر و شرط پشتیبانی در متن هست.</x:v>
      </x:c>
      <x:c r="H18" s="58" t="n">
        <x:v>46311</x:v>
      </x:c>
    </x:row>
    <x:row r="19" ht="86" customHeight="1">
      <x:c r="A19" s="26" t="str">
        <x:v>PS015</x:v>
      </x:c>
      <x:c r="B19" s="26" t="str">
        <x:v>حسابفا</x:v>
      </x:c>
      <x:c r="C19" s="26" t="str">
        <x:v>تعرفه حسابفا</x:v>
      </x:c>
      <x:c r="D19" s="26" t="str">
        <x:v>ایران</x:v>
      </x:c>
      <x:c r="E19" s="26" t="str">
        <x:v>https://www.hesabfa.com/prices</x:v>
      </x:c>
      <x:c r="F19" s="26" t="str">
        <x:v>صفحه/بخش مرتبط خوانده شد</x:v>
      </x:c>
      <x:c r="G19" s="26" t="str">
        <x:v>۵۹۰هزار تومان کنار انتخابگر چند دوره دیده شد؛ انتخاب مؤثر دوره در این خوانش تثبیت نشد. نرم‌افزار حسابداری جانشین WMS یا موتور AI نیست.</x:v>
      </x:c>
      <x:c r="H19" s="58" t="n">
        <x:v>46311</x:v>
      </x:c>
    </x:row>
    <x:row r="20" ht="86" customHeight="1">
      <x:c r="A20" s="26" t="str">
        <x:v>PS016</x:v>
      </x:c>
      <x:c r="B20" s="26" t="str">
        <x:v>آرین سیستم</x:v>
      </x:c>
      <x:c r="C20" s="26" t="str">
        <x:v>راهکار ERP آرین سیستم</x:v>
      </x:c>
      <x:c r="D20" s="26" t="str">
        <x:v>ایران</x:v>
      </x:c>
      <x:c r="E20" s="26" t="str">
        <x:v>https://www.ariansystem.net/erp/</x:v>
      </x:c>
      <x:c r="F20" s="26" t="str">
        <x:v>صفحه/بخش مرتبط خوانده شد</x:v>
      </x:c>
      <x:c r="G20" s="26" t="str">
        <x:v>راهکار همجوار برای ERP/عملیات؛ استقرار خرده‌فروشی نام‌دار و قیمت اختصاصی از این صفحه احراز نشده.</x:v>
      </x:c>
      <x:c r="H20" s="58" t="n">
        <x:v>46311</x:v>
      </x:c>
    </x:row>
    <x:row r="21" ht="86" customHeight="1">
      <x:c r="A21" s="26" t="str">
        <x:v>PS017</x:v>
      </x:c>
      <x:c r="B21" s="26" t="str">
        <x:v>هوپاد داده</x:v>
      </x:c>
      <x:c r="C21" s="26" t="str">
        <x:v>معرفی ESL هوپاد</x:v>
      </x:c>
      <x:c r="D21" s="26" t="str">
        <x:v>ایران</x:v>
      </x:c>
      <x:c r="E21" s="26" t="str">
        <x:v>https://houpaddata.com/fa/portfolio-item/برچسب-الکترونیکی-قفسه-esl/</x:v>
      </x:c>
      <x:c r="F21" s="26" t="str">
        <x:v>صفحه/بخش مرتبط خوانده شد</x:v>
      </x:c>
      <x:c r="G21" s="26" t="str">
        <x:v>اجزای برچسب، گیت‌وی و نرم‌افزار معرفی شده؛ قیمت عمومی معتبر بازیابی نشد.</x:v>
      </x:c>
      <x:c r="H21" s="58" t="n">
        <x:v>46311</x:v>
      </x:c>
    </x:row>
    <x:row r="22" ht="86" customHeight="1">
      <x:c r="A22" s="26" t="str">
        <x:v>PS018</x:v>
      </x:c>
      <x:c r="B22" s="26" t="str">
        <x:v>گرین‌چی</x:v>
      </x:c>
      <x:c r="C22" s="26" t="str">
        <x:v>کاتالوگ گرین‌چی</x:v>
      </x:c>
      <x:c r="D22" s="26" t="str">
        <x:v>ایران</x:v>
      </x:c>
      <x:c r="E22" s="26" t="str">
        <x:v>https://greenchimarket.co/products.php</x:v>
      </x:c>
      <x:c r="F22" s="26" t="str">
        <x:v>صفحه/بخش مرتبط خوانده شد</x:v>
      </x:c>
      <x:c r="G22" s="26" t="str">
        <x:v>۹قلم معرفی‌شده؛ قیمت روز در ایستگاه، نه قیمت دستگاه یا قرارداد نمایندگی. اقلام پیشنهادی جدید را نباید محصول فعلی گرین‌چی نامید.</x:v>
      </x:c>
      <x:c r="H22" s="58" t="n">
        <x:v>46311</x:v>
      </x:c>
    </x:row>
    <x:row r="23" ht="86" customHeight="1">
      <x:c r="A23" s="26" t="str">
        <x:v>PS019</x:v>
      </x:c>
      <x:c r="B23" s="26" t="str">
        <x:v>بهپایا</x:v>
      </x:c>
      <x:c r="C23" s="26" t="str">
        <x:v>شرح محاسبه خدمات بهپایا</x:v>
      </x:c>
      <x:c r="D23" s="26" t="str">
        <x:v>ایران</x:v>
      </x:c>
      <x:c r="E23" s="26" t="str">
        <x:v>https://www.behpaya.com/fa/services/moein-services/moein-aftersale-services/moein-support-services/moein-service-fees</x:v>
      </x:c>
      <x:c r="F23" s="26" t="str">
        <x:v>صفحه/بخش مرتبط خوانده شد</x:v>
      </x:c>
      <x:c r="G23" s="26" t="str">
        <x:v>توضیح محاسبه با تعرفه۱۴۰۴ و افزایش منتسب۷۹٪ برای۱۴۰۵ دیده شد؛ جدول نرخ نهایی استخراج نشد. نرخ واحد رسمی ساخت نرم‌افزار در این بسته اعلام نشده.</x:v>
      </x:c>
      <x:c r="H23" s="58" t="n">
        <x:v>46311</x:v>
      </x:c>
    </x:row>
    <x:row r="24" ht="86" customHeight="1">
      <x:c r="A24" s="26" t="str">
        <x:v>PS020</x:v>
      </x:c>
      <x:c r="B24" s="26" t="str">
        <x:v>نظام صنفی رایانه‌ای</x:v>
      </x:c>
      <x:c r="C24" s="26" t="str">
        <x:v>ماشین‌حساب رسمی تعرفه فاوا</x:v>
      </x:c>
      <x:c r="D24" s="26" t="str">
        <x:v>ایران</x:v>
      </x:c>
      <x:c r="E24" s="26" t="str">
        <x:v>https://tariffs.irannsr.org/index.php/component/nikdesk/?view=tarefeh&amp;dotask=m1_form</x:v>
      </x:c>
      <x:c r="F24" s="26" t="str">
        <x:v>صفحه/بخش مرتبط خوانده شد</x:v>
      </x:c>
      <x:c r="G24" s="26" t="str">
        <x:v>محاسبه نیازمند نسخه، تخصص شخص و شرکت است. فایل۱۴۰۴ به قیمت۱۴۰۵ تبدیل بی‌سند نشده است.</x:v>
      </x:c>
      <x:c r="H24" s="58" t="n">
        <x:v>46311</x:v>
      </x:c>
    </x:row>
    <x:row r="25" ht="86" customHeight="1">
      <x:c r="A25" s="26" t="str">
        <x:v>PS021</x:v>
      </x:c>
      <x:c r="B25" s="26" t="str">
        <x:v>عارف مارکت</x:v>
      </x:c>
      <x:c r="C25" s="26" t="str">
        <x:v>پرایس‌چکر J6412؛ سرنخ</x:v>
      </x:c>
      <x:c r="D25" s="26" t="str">
        <x:v>ایران</x:v>
      </x:c>
      <x:c r="E25" s="26" t="str">
        <x:v>http://arefmarket.com/product/پرایس-چکر-بایامکس-مدل-j6412/</x:v>
      </x:c>
      <x:c r="F25" s="26" t="str">
        <x:v>نتیجه جست‌وجو؛ قیمت خوانده نشد</x:v>
      </x:c>
      <x:c r="G25" s="26" t="str">
        <x:v>کالای مرتبط در نام/شرح؛ قیمت، API و مدل تأیید نشده.</x:v>
      </x:c>
      <x:c r="H25" s="58" t="n">
        <x:v>46311</x:v>
      </x:c>
    </x:row>
    <x:row r="26" ht="86" customHeight="1">
      <x:c r="A26" s="26" t="str">
        <x:v>PS022</x:v>
      </x:c>
      <x:c r="B26" s="26" t="str">
        <x:v>SOLUM</x:v>
      </x:c>
      <x:c r="C26" s="26" t="str">
        <x:v>توضیح قیمت برچسب و گیت‌وی</x:v>
      </x:c>
      <x:c r="D26" s="26" t="str">
        <x:v>خارج</x:v>
      </x:c>
      <x:c r="E26" s="26" t="str">
        <x:v>https://www.solum-group.com/us/en/resources/business-cases/insight-detail.retail.are-electronic-shelf-labels-expensive</x:v>
      </x:c>
      <x:c r="F26" s="26" t="str">
        <x:v>صفحه/بخش مرتبط خوانده شد</x:v>
      </x:c>
      <x:c r="G26" s="26" t="str">
        <x:v>بازه عمومی سازنده بدون مدل دقیق، نه پیش‌فاکتور. عبارت هزینه منظم۵۰۰دلار مدت ندارد و استفاده مالی نشده.</x:v>
      </x:c>
      <x:c r="H26" s="58" t="n">
        <x:v>46311</x:v>
      </x:c>
    </x:row>
    <x:row r="27" ht="86" customHeight="1">
      <x:c r="A27" s="26" t="str">
        <x:v>PS023</x:v>
      </x:c>
      <x:c r="B27" s="26" t="str">
        <x:v>VMFS USA</x:v>
      </x:c>
      <x:c r="C27" s="26" t="str">
        <x:v>CorePro قهوه؛ قیمت و افزونه‌ها</x:v>
      </x:c>
      <x:c r="D27" s="26" t="str">
        <x:v>خارج</x:v>
      </x:c>
      <x:c r="E27" s="26" t="str">
        <x:v>https://vmfsusa.com/products/corepro-coffee-vending-machine</x:v>
      </x:c>
      <x:c r="F27" s="26" t="str">
        <x:v>صفحه/بخش مرتبط خوانده شد</x:v>
      </x:c>
      <x:c r="G27" s="26" t="str">
        <x:v>۱۲۰ولت در مشخصات؛ ایران‌پذیری تأیید نشده. وضعیت موجودی در رابط ناسازگار است. پرداخت‌خوان و پوشش بدنه جداست.</x:v>
      </x:c>
      <x:c r="H27" s="58" t="n">
        <x:v>46311</x:v>
      </x:c>
    </x:row>
    <x:row r="28" ht="86" customHeight="1">
      <x:c r="A28" s="26" t="str">
        <x:v>PS024</x:v>
      </x:c>
      <x:c r="B28" s="26" t="str">
        <x:v>Nova Vending</x:v>
      </x:c>
      <x:c r="C28" s="26" t="str">
        <x:v>قیمت وندینگ پاپ‌کورن Nova</x:v>
      </x:c>
      <x:c r="D28" s="26" t="str">
        <x:v>خارج</x:v>
      </x:c>
      <x:c r="E28" s="26" t="str">
        <x:v>https://novavendingmachine.com/products/new-2026-popcorn-vending-machine/</x:v>
      </x:c>
      <x:c r="F28" s="26" t="str">
        <x:v>صفحه/بخش مرتبط خوانده شد</x:v>
      </x:c>
      <x:c r="G28" s="26" t="str">
        <x:v>قیمت فعلی۷۵۰۰ و قبلی۸۰۰۰دلار؛ پیکربندی، حمل و خدمات نیازمند استعلام.</x:v>
      </x:c>
      <x:c r="H28" s="58" t="n">
        <x:v>46311</x:v>
      </x:c>
    </x:row>
    <x:row r="29" ht="86" customHeight="1">
      <x:c r="A29" s="26" t="str">
        <x:v>PS025</x:v>
      </x:c>
      <x:c r="B29" s="26" t="str">
        <x:v>WebstaurantStore</x:v>
      </x:c>
      <x:c r="C29" s="26" t="str">
        <x:v>پاپ‌کورن‌ساز اپراتوری Carnival King</x:v>
      </x:c>
      <x:c r="D29" s="26" t="str">
        <x:v>خارج</x:v>
      </x:c>
      <x:c r="E29" s="26" t="str">
        <x:v>https://www.webstaurantstore.com/carnival-king-pm850-8-oz-popcorn-machine-popper-120v-850w/382PM850.html</x:v>
      </x:c>
      <x:c r="F29" s="26" t="str">
        <x:v>خروجی جزئی عامل؛ اصل قیمت بازخوانی نشده</x:v>
      </x:c>
      <x:c r="G29" s="26" t="str">
        <x:v>۱۸۴٫۹۹دلار سرنخ است؛ دستگاه رومیزی نیازمند اپراتور، نه وندینگ مستقل.</x:v>
      </x:c>
      <x:c r="H29" s="58" t="n">
        <x:v>46311</x:v>
      </x:c>
    </x:row>
    <x:row r="30" ht="86" customHeight="1">
      <x:c r="A30" s="26" t="str">
        <x:v>PS026</x:v>
      </x:c>
      <x:c r="B30" s="26" t="str">
        <x:v>RobotLAB</x:v>
      </x:c>
      <x:c r="C30" s="26" t="str">
        <x:v>قیمت ربات‌های نظافت</x:v>
      </x:c>
      <x:c r="D30" s="26" t="str">
        <x:v>خارج</x:v>
      </x:c>
      <x:c r="E30" s="26" t="str">
        <x:v>https://www.robotlab.com/store/category/cleaning/</x:v>
      </x:c>
      <x:c r="F30" s="26" t="str">
        <x:v>صفحه/بخش مرتبط خوانده شد</x:v>
      </x:c>
      <x:c r="G30" s="26" t="str">
        <x:v>خرید از / RaaS۳۶ماهه؛ گزینه‌های جایگزین‌اند، نه جمع‌شونده. خدمات ایران احراز نشده.</x:v>
      </x:c>
      <x:c r="H30" s="58" t="n">
        <x:v>46311</x:v>
      </x:c>
    </x:row>
    <x:row r="31" ht="86" customHeight="1">
      <x:c r="A31" s="26" t="str">
        <x:v>PS027</x:v>
      </x:c>
      <x:c r="B31" s="26" t="str">
        <x:v>Yodeck</x:v>
      </x:c>
      <x:c r="C31" s="26" t="str">
        <x:v>پلن‌های Yodeck</x:v>
      </x:c>
      <x:c r="D31" s="26" t="str">
        <x:v>خارج</x:v>
      </x:c>
      <x:c r="E31" s="26" t="str">
        <x:v>https://www.yodeck.com/pricing/</x:v>
      </x:c>
      <x:c r="F31" s="26" t="str">
        <x:v>صفحه/بخش مرتبط خوانده شد</x:v>
      </x:c>
      <x:c r="G31" s="26" t="str">
        <x:v>USD از ارزهای دیگر جدا استخراج شد. پلیر رایگان در مسیر سالانه شروط دارد؛ نمایشگر نیست. ۱نمایشگر رایگان با پنج نمایشگر آزمایشی تفاوت دارد.</x:v>
      </x:c>
      <x:c r="H31" s="58" t="n">
        <x:v>46311</x:v>
      </x:c>
    </x:row>
    <x:row r="32" ht="86" customHeight="1">
      <x:c r="A32" s="26" t="str">
        <x:v>PS028</x:v>
      </x:c>
      <x:c r="B32" s="26" t="str">
        <x:v>Deputy</x:v>
      </x:c>
      <x:c r="C32" s="26" t="str">
        <x:v>پلن‌های Deputy</x:v>
      </x:c>
      <x:c r="D32" s="26" t="str">
        <x:v>خارج</x:v>
      </x:c>
      <x:c r="E32" s="26" t="str">
        <x:v>https://www.deputy.com/pricing</x:v>
      </x:c>
      <x:c r="F32" s="26" t="str">
        <x:v>صفحه/بخش مرتبط خوانده شد</x:v>
      </x:c>
      <x:c r="G32" s="26" t="str">
        <x:v>LITE۵،CORE۶٫۵،PRO۹دلار/کاربرماه در صفحه خوانده شد؛ مالیات جدا، حداقل صورتحساب۳۰دلار. HR افزوده فقط بازارهای مشخص؛ ایران تأیید نشده.</x:v>
      </x:c>
      <x:c r="H32" s="58" t="n">
        <x:v>46311</x:v>
      </x:c>
    </x:row>
    <x:row r="33" ht="86" customHeight="1">
      <x:c r="A33" s="26" t="str">
        <x:v>PS029</x:v>
      </x:c>
      <x:c r="B33" s="26" t="str">
        <x:v>Microsoft</x:v>
      </x:c>
      <x:c r="C33" s="26" t="str">
        <x:v>تعرفه Power BI</x:v>
      </x:c>
      <x:c r="D33" s="26" t="str">
        <x:v>خارج</x:v>
      </x:c>
      <x:c r="E33" s="26" t="str">
        <x:v>https://www.microsoft.com/en-us/power-platform/products/power-bi/pricing</x:v>
      </x:c>
      <x:c r="F33" s="26" t="str">
        <x:v>صفحه/بخش مرتبط خوانده شد</x:v>
      </x:c>
      <x:c r="G33" s="26" t="str">
        <x:v>مجوز کاربری با ساخت داشبورد، مدل داده و ظرفیت Embedded تفاوت دارد؛ خرید مجاز/پشتیبانی ایران احراز نشده.</x:v>
      </x:c>
      <x:c r="H33" s="58" t="n">
        <x:v>46311</x:v>
      </x:c>
    </x:row>
    <x:row r="34" ht="86" customHeight="1">
      <x:c r="A34" s="26" t="str">
        <x:v>PS030</x:v>
      </x:c>
      <x:c r="B34" s="26" t="str">
        <x:v>Freshworks</x:v>
      </x:c>
      <x:c r="C34" s="26" t="str">
        <x:v>تعرفه Freshdesk</x:v>
      </x:c>
      <x:c r="D34" s="26" t="str">
        <x:v>خارج</x:v>
      </x:c>
      <x:c r="E34" s="26" t="str">
        <x:v>https://www.freshworks.com/freshdesk/pricing/</x:v>
      </x:c>
      <x:c r="F34" s="26" t="str">
        <x:v>صفحه/بخش مرتبط خوانده شد</x:v>
      </x:c>
      <x:c r="G34" s="26" t="str">
        <x:v>سرویس میزخدمت با راهکار کامل مرجوعی متصل به پول و انبار برابر نیست؛ AI/add-on و قرارداد جدا بررسی شوند.</x:v>
      </x:c>
      <x:c r="H34" s="58" t="n">
        <x:v>46311</x:v>
      </x:c>
    </x:row>
    <x:row r="35" ht="86" customHeight="1">
      <x:c r="A35" s="26" t="str">
        <x:v>PS031</x:v>
      </x:c>
      <x:c r="B35" s="26" t="str">
        <x:v>Chatwoot</x:v>
      </x:c>
      <x:c r="C35" s="26" t="str">
        <x:v>تعرفه Cloud Chatwoot</x:v>
      </x:c>
      <x:c r="D35" s="26" t="str">
        <x:v>خارج</x:v>
      </x:c>
      <x:c r="E35" s="26" t="str">
        <x:v>https://www.chatwoot.com/pricing</x:v>
      </x:c>
      <x:c r="F35" s="26" t="str">
        <x:v>صفحه/بخش مرتبط خوانده شد</x:v>
      </x:c>
      <x:c r="G35" s="26" t="str">
        <x:v>هزینه Cloud با نسخه خودمیزبان یکی نیست. AI اعتبار محدود دارد؛ خودمیزبانی هزینه عملیات دارد.</x:v>
      </x:c>
      <x:c r="H35" s="58" t="n">
        <x:v>46311</x:v>
      </x:c>
    </x:row>
    <x:row r="36" ht="86" customHeight="1">
      <x:c r="A36" s="26" t="str">
        <x:v>PS032</x:v>
      </x:c>
      <x:c r="B36" s="26" t="str">
        <x:v>Mappedin</x:v>
      </x:c>
      <x:c r="C36" s="26" t="str">
        <x:v>مدل قیمت Mappedin</x:v>
      </x:c>
      <x:c r="D36" s="26" t="str">
        <x:v>خارج</x:v>
      </x:c>
      <x:c r="E36" s="26" t="str">
        <x:v>https://www.mappedin.com/pricing/</x:v>
      </x:c>
      <x:c r="F36" s="26" t="str">
        <x:v>صفحه/بخش مرتبط خوانده شد</x:v>
      </x:c>
      <x:c r="G36" s="26" t="str">
        <x:v>بر اساس مساحت و پیچیدگی و مدت قرارداد؛ مبلغ عمومی نداشت. طراحی نقشه خدمت اضافه است.</x:v>
      </x:c>
      <x:c r="H36" s="58" t="n">
        <x:v>46311</x:v>
      </x:c>
    </x:row>
    <x:row r="37" ht="86" customHeight="1">
      <x:c r="A37" s="26" t="str">
        <x:v>PS033</x:v>
      </x:c>
      <x:c r="B37" s="26" t="str">
        <x:v>TalentLMS</x:v>
      </x:c>
      <x:c r="C37" s="26" t="str">
        <x:v>تعرفه TalentLMS</x:v>
      </x:c>
      <x:c r="D37" s="26" t="str">
        <x:v>خارج</x:v>
      </x:c>
      <x:c r="E37" s="26" t="str">
        <x:v>https://www.talentlms.com/prices</x:v>
      </x:c>
      <x:c r="F37" s="26" t="str">
        <x:v>صفحه/بخش مرتبط خوانده شد</x:v>
      </x:c>
      <x:c r="G37" s="26" t="str">
        <x:v>Core۱۱۹دلار/ماه برای۱–۴۰کاربر دیده شد؛ حالت انتخاب سالانه/ماهانه در متن تثبیت نشد.</x:v>
      </x:c>
      <x:c r="H37" s="58" t="n">
        <x:v>46311</x:v>
      </x:c>
    </x:row>
    <x:row r="38" ht="86" customHeight="1">
      <x:c r="A38" s="26" t="str">
        <x:v>PS034</x:v>
      </x:c>
      <x:c r="B38" s="26" t="str">
        <x:v>Taylor &amp; Francis</x:v>
      </x:c>
      <x:c r="C38" s="26" t="str">
        <x:v>مقاله اثر ESL بر فروش</x:v>
      </x:c>
      <x:c r="D38" s="26" t="str">
        <x:v>بین‌المللی</x:v>
      </x:c>
      <x:c r="E38" s="26" t="str">
        <x:v>https://www.tandfonline.com/doi/abs/10.1080/10864415.2020.1806472</x:v>
      </x:c>
      <x:c r="F38" s="26" t="str">
        <x:v>صفحه/بخش مرتبط خوانده شد</x:v>
      </x:c>
      <x:c r="G38" s="26" t="str">
        <x:v>مطالعه۲۰۲۰؛ DiD بدون تغییر سیاست قیمت. انتقال فروش بین دسته‌ها و نبود تغییر بازدید، نه تضمین رشد کل فروشگاه.</x:v>
      </x:c>
      <x:c r="H38" s="58" t="n">
        <x:v>46311</x:v>
      </x:c>
    </x:row>
    <x:row r="39" ht="86" customHeight="1">
      <x:c r="A39" s="26" t="str">
        <x:v>PS035</x:v>
      </x:c>
      <x:c r="B39" s="26" t="str">
        <x:v>Wiley</x:v>
      </x:c>
      <x:c r="C39" s="26" t="str">
        <x:v>ESL و تجربه/رفاه مشتری</x:v>
      </x:c>
      <x:c r="D39" s="26" t="str">
        <x:v>بین‌المللی</x:v>
      </x:c>
      <x:c r="E39" s="26" t="str">
        <x:v>https://onlinelibrary.wiley.com/doi/full/10.1155/hbe2/3237727</x:v>
      </x:c>
      <x:c r="F39" s="26" t="str">
        <x:v>صفحه/بخش مرتبط خوانده شد</x:v>
      </x:c>
      <x:c r="G39" s="26" t="str">
        <x:v>پیمایش۳۰۵پاسخ‌دهنده و PLS-SEM؛ رابطه آماری، نه اثر علّی نصب.</x:v>
      </x:c>
      <x:c r="H39" s="58" t="n">
        <x:v>46311</x:v>
      </x:c>
    </x:row>
    <x:row r="40" ht="86" customHeight="1">
      <x:c r="A40" s="26" t="str">
        <x:v>PS036</x:v>
      </x:c>
      <x:c r="B40" s="26" t="str">
        <x:v>مجله مدیریت تولید و عملیات، دانشگاه اصفهان</x:v>
      </x:c>
      <x:c r="C40" s="26" t="str">
        <x:v>پیش‌بینی تقاضای یکپارچه DTW+NAR/NARX</x:v>
      </x:c>
      <x:c r="D40" s="26" t="str">
        <x:v>ایران</x:v>
      </x:c>
      <x:c r="E40" s="26" t="str">
        <x:v>https://jpom.ui.ac.ir/article_27478.html</x:v>
      </x:c>
      <x:c r="F40" s="26" t="str">
        <x:v>صفحه/بخش مرتبط خوانده شد</x:v>
      </x:c>
      <x:c r="G40" s="26" t="str">
        <x:v>متن HTML خوانده شد؛ شرکت آرایشی ناشناس،۱۴۹۱محصول و۳۱ماه داده؛ آزمون تفصیلی۸محصول. نام شرکت حدس زده نشده؛ نتایج NAR/NARX بسته به قلم متفاوت‌اند.</x:v>
      </x:c>
      <x:c r="H40" s="58" t="n">
        <x:v>46311</x:v>
      </x:c>
    </x:row>
    <x:row r="41" ht="86" customHeight="1">
      <x:c r="A41" s="26" t="str">
        <x:v>PS037</x:v>
      </x:c>
      <x:c r="B41" s="26" t="str">
        <x:v>سامانه نشریات دانشگاه آزاد</x:v>
      </x:c>
      <x:c r="C41" s="26" t="str">
        <x:v>سرنخ مقاله موجودی و شبکه عصبی MLP</x:v>
      </x:c>
      <x:c r="D41" s="26" t="str">
        <x:v>ایران</x:v>
      </x:c>
      <x:c r="E41" s="26" t="str">
        <x:v>https://journals.iau.ir/article_677101.html</x:v>
      </x:c>
      <x:c r="F41" s="26" t="str">
        <x:v>عنوان/چکیده نمایه؛ اصل باز نشد</x:v>
      </x:c>
      <x:c r="G41" s="26" t="str">
        <x:v>به‌عنوان سرنخ پژوهشی نگهداری شد؛ نتیجه کمی یا نام خرده‌فروش از آن استفاده نشده.</x:v>
      </x:c>
      <x:c r="H41" s="58" t="n">
        <x:v>46311</x:v>
      </x:c>
    </x:row>
    <x:row r="42" ht="86" customHeight="1">
      <x:c r="A42" s="26" t="str">
        <x:v>PS038</x:v>
      </x:c>
      <x:c r="B42" s="26" t="str">
        <x:v>ترب</x:v>
      </x:c>
      <x:c r="C42" s="26" t="str">
        <x:v>صفحه تربِ بدون فروشنده</x:v>
      </x:c>
      <x:c r="D42" s="26" t="str">
        <x:v>ایران</x:v>
      </x:c>
      <x:c r="E42" s="26" t="str">
        <x:v>https://torob.com/p/56f9df75-8094-41d8-875d-e8c2cb631e16/لوگو-پروژکتور-تبلیغاتی-مدل-چرخشی-40-وات/</x:v>
      </x:c>
      <x:c r="F42" s="26" t="str">
        <x:v>صفحه/بخش مرتبط خوانده شد</x:v>
      </x:c>
      <x:c r="G42" s="26" t="str">
        <x:v>متن «فعلاً فروشنده‌ای ندارد»؛ شاهد منفی پوشش عرضه، نه قیمت روز یا عدم وجود کالا در کل ایران.</x:v>
      </x:c>
      <x:c r="H42" s="58" t="n">
        <x:v>46311</x:v>
      </x:c>
    </x:row>
    <x:row r="43" ht="86" customHeight="1">
      <x:c r="A43" s="26" t="str">
        <x:v>PS039</x:v>
      </x:c>
      <x:c r="B43" s="26" t="str">
        <x:v>Skyleds</x:v>
      </x:c>
      <x:c r="C43" s="26" t="str">
        <x:v>LED شفاف Skyleds؛ قیمت بر مترمربع</x:v>
      </x:c>
      <x:c r="D43" s="26" t="str">
        <x:v>خارج</x:v>
      </x:c>
      <x:c r="E43" s="26" t="str">
        <x:v>https://skyleds.de/shop/led-werbedisplays/transparentes-led-display/</x:v>
      </x:c>
      <x:c r="F43" s="26" t="str">
        <x:v>صفحه/بخش مرتبط خوانده شد</x:v>
      </x:c>
      <x:c r="G43" s="26" t="str">
        <x:v>مبالغ یورو با۱۹٪مالیات آلمان؛ کنترلر/پلیر و کابل لازم و حمل داخل آلمان شامل، سازه و نصب و قطعه اضافه جدا. زمان اعلامی۵–۶هفته سفارش است، نه تحویل ایران.</x:v>
      </x:c>
      <x:c r="H43" s="58" t="n">
        <x:v>46311</x:v>
      </x:c>
    </x:row>
    <x:row r="44" ht="86" customHeight="1">
      <x:c r="A44" s="26" t="str">
        <x:v>PS040</x:v>
      </x:c>
      <x:c r="B44" s="26" t="str">
        <x:v>LUMOplay</x:v>
      </x:c>
      <x:c r="C44" s="26" t="str">
        <x:v>تعرفه LUMOplay</x:v>
      </x:c>
      <x:c r="D44" s="26" t="str">
        <x:v>خارج</x:v>
      </x:c>
      <x:c r="E44" s="26" t="str">
        <x:v>https://www.lumoplay.com/software-pricing</x:v>
      </x:c>
      <x:c r="F44" s="26" t="str">
        <x:v>صفحه/بخش مرتبط خوانده شد</x:v>
      </x:c>
      <x:c r="G44" s="26" t="str">
        <x:v>۲۶۳٫۱۱ و۵۸۵٫۱۰ با نشان$درسال/سیستم؛ نوع دلار در متن انتخابگر احراز نشد. نرم‌افزار است، نه پروژکتور/حسگر.</x:v>
      </x:c>
      <x:c r="H44" s="58" t="n">
        <x:v>46311</x:v>
      </x:c>
    </x:row>
    <x:row r="45" ht="86" customHeight="1">
      <x:c r="A45" s="26" t="str">
        <x:v>PS041</x:v>
      </x:c>
      <x:c r="B45" s="26" t="str">
        <x:v>LUMOplay</x:v>
      </x:c>
      <x:c r="C45" s="26" t="str">
        <x:v>راهنمای سخت‌افزار کف تعاملی</x:v>
      </x:c>
      <x:c r="D45" s="26" t="str">
        <x:v>خارج</x:v>
      </x:c>
      <x:c r="E45" s="26" t="str">
        <x:v>https://help.lumoplay.com/hc/en-us/articles/360042794093-Portable-interactive-floor-guide</x:v>
      </x:c>
      <x:c r="F45" s="26" t="str">
        <x:v>صفحه/بخش مرتبط خوانده شد</x:v>
      </x:c>
      <x:c r="G45" s="26" t="str">
        <x:v>راهنمای سازنده حدود۲۰۰۰–۲۵۰۰دلار آمریکا برای قطعات نو ذکر می‌کند؛ برآورد راهنماست نه سبد خرید قیمت‌روز و نه نصب در فروشگاه پرنور.</x:v>
      </x:c>
      <x:c r="H45" s="58" t="n">
        <x:v>46311</x:v>
      </x:c>
    </x:row>
    <x:row r="46" ht="86" customHeight="1">
      <x:c r="A46" s="26" t="str">
        <x:v>PS042</x:v>
      </x:c>
      <x:c r="B46" s="26" t="str">
        <x:v>دیدار</x:v>
      </x:c>
      <x:c r="C46" s="26" t="str">
        <x:v>تعرفه CRM دیدار</x:v>
      </x:c>
      <x:c r="D46" s="26" t="str">
        <x:v>ایران</x:v>
      </x:c>
      <x:c r="E46" s="26" t="str">
        <x:v>https://didar.me/tariff/</x:v>
      </x:c>
      <x:c r="F46" s="26" t="str">
        <x:v>صفحه/بخش مرتبط خوانده شد</x:v>
      </x:c>
      <x:c r="G46" s="26" t="str">
        <x:v>صفحه تعرفه در خوانش عدد قابل اتکا ارائه نکرد و تماس را ارجاع داد؛ تعداد کاربران مبنای شرح است. CRM با باشگاه مصرف‌کننده دقیقاً یکسان نیست.</x:v>
      </x:c>
      <x:c r="H46" s="58" t="n">
        <x:v>46311</x:v>
      </x:c>
    </x:row>
    <x:row r="47" ht="86" customHeight="1">
      <x:c r="A47" s="26" t="str">
        <x:v>PS043</x:v>
      </x:c>
      <x:c r="B47" s="26" t="str">
        <x:v>یکتانت</x:v>
      </x:c>
      <x:c r="C47" s="26" t="str">
        <x:v>پلتفرم تبلیغات یکتانت</x:v>
      </x:c>
      <x:c r="D47" s="26" t="str">
        <x:v>ایران</x:v>
      </x:c>
      <x:c r="E47" s="26" t="str">
        <x:v>https://www.yektanet.com/</x:v>
      </x:c>
      <x:c r="F47" s="26" t="str">
        <x:v>صفحه/بخش مرتبط خوانده شد</x:v>
      </x:c>
      <x:c r="G47" s="26" t="str">
        <x:v>محصول و انواع تبلیغ معرفی شده‌اند؛ بودجه، جایگاه و نتیجه از قیمت ثابت کمپین قابل استنتاج نیست. همکار اینفلوئنسر خاص احراز نشده.</x:v>
      </x:c>
      <x:c r="H47" s="58" t="n">
        <x:v>46311</x:v>
      </x:c>
    </x:row>
    <x:row r="48" ht="86" customHeight="1">
      <x:c r="A48" s="26" t="str">
        <x:v>PS044</x:v>
      </x:c>
      <x:c r="B48" s="26" t="str">
        <x:v>کاوه‌نگار</x:v>
      </x:c>
      <x:c r="C48" s="26" t="str">
        <x:v>مسیر تعرفه کاوه‌نگار</x:v>
      </x:c>
      <x:c r="D48" s="26" t="str">
        <x:v>ایران</x:v>
      </x:c>
      <x:c r="E48" s="26" t="str">
        <x:v>https://www.kavenegar.com/pricing</x:v>
      </x:c>
      <x:c r="F48" s="26" t="str">
        <x:v>دسترسی ناموفق؛ محتوا خوانده نشد</x:v>
      </x:c>
      <x:c r="G48" s="26" t="str">
        <x:v>مسیر تعرفه بازخوانی نشد؛ عدد پنل/هرپیام ثبت نشده است. برای بنچمارک تنها سرنخ سرویس، نه نرخ قطعی.</x:v>
      </x:c>
      <x:c r="H48" s="58" t="n">
        <x:v>46311</x:v>
      </x:c>
    </x:row>
  </x:sheetData>
  <x:mergeCells>
    <x:mergeCell ref="A1:H1"/>
    <x:mergeCell ref="A2:H2"/>
  </x:mergeCells>
  <x:pageMargins left="0.7" right="0.7" top="0.75" bottom="0.75" header="0.3" footer="0.3"/>
  <x:tableParts count="1">
    <x:tablePart xmlns:r="http://schemas.openxmlformats.org/officeDocument/2006/relationships" r:id="R212cf90b701e4d71"/>
  </x:tableParts>
</x:worksheet>
</file>

<file path=xl/worksheets/sheet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55" hidden="0" customWidth="1"/>
    <x:col min="3" max="3" width="20" hidden="0" customWidth="1"/>
    <x:col min="4" max="4" width="15" hidden="0" customWidth="1"/>
    <x:col min="5" max="5" width="38" hidden="0" customWidth="1"/>
    <x:col min="6" max="6" width="45" hidden="0" customWidth="1"/>
    <x:col min="7" max="7" width="61" hidden="0" customWidth="1"/>
    <x:col min="8" max="8" width="52" hidden="0" customWidth="1"/>
    <x:col min="9" max="9" width="65" hidden="0" customWidth="1"/>
    <x:col min="10" max="10" width="62" hidden="0" customWidth="1"/>
  </x:cols>
  <x:sheetData>
    <x:row r="1" ht="34" customHeight="1">
      <x:c r="A1" s="9" t="str">
        <x:v>۱۰ مدخل علمی — طراحی مطالعه و حدود نتیجه</x:v>
      </x:c>
      <x:c r="B1" s="9"/>
      <x:c r="C1" s="9"/>
      <x:c r="D1" s="9"/>
      <x:c r="E1" s="9"/>
      <x:c r="F1" s="9"/>
      <x:c r="G1" s="9"/>
      <x:c r="H1" s="9"/>
      <x:c r="I1" s="9"/>
      <x:c r="J1" s="9"/>
    </x:row>
    <x:row r="2" ht="42" customHeight="1">
      <x:c r="A2" s="14" t="str">
        <x:v>چهار مدخل این موج و شش پرونده علمی قبلی؛ یکی از چهار مدخل جدید سرنخ دسترس‌ناپذیر است. درصد مطالعه، تضمین اثر در فامیلی نیست.</x:v>
      </x:c>
      <x:c r="B2" s="14"/>
      <x:c r="C2" s="14"/>
      <x:c r="D2" s="14"/>
      <x:c r="E2" s="14"/>
      <x:c r="F2" s="14"/>
      <x:c r="G2" s="14"/>
      <x:c r="H2" s="14"/>
      <x:c r="I2" s="14"/>
      <x:c r="J2" s="14"/>
    </x:row>
    <x:row r="3">
      <x:c r="A3" s="6"/>
      <x:c r="B3" s="6"/>
      <x:c r="C3" s="6"/>
      <x:c r="D3" s="6"/>
      <x:c r="E3" s="6"/>
      <x:c r="F3" s="6"/>
      <x:c r="G3" s="6"/>
      <x:c r="H3" s="6"/>
      <x:c r="I3" s="6"/>
      <x:c r="J3" s="6"/>
    </x:row>
    <x:row r="4" ht="42" customHeight="1">
      <x:c r="A4" s="21" t="str">
        <x:v>شناسه</x:v>
      </x:c>
      <x:c r="B4" s="21" t="str">
        <x:v>عنوان</x:v>
      </x:c>
      <x:c r="C4" s="21" t="str">
        <x:v>جغرافیا</x:v>
      </x:c>
      <x:c r="D4" s="21" t="str">
        <x:v>سال</x:v>
      </x:c>
      <x:c r="E4" s="21" t="str">
        <x:v>DOI</x:v>
      </x:c>
      <x:c r="F4" s="21" t="str">
        <x:v>نوع مطالعه</x:v>
      </x:c>
      <x:c r="G4" s="21" t="str">
        <x:v>یافته پشتیبانی‌شده</x:v>
      </x:c>
      <x:c r="H4" s="21" t="str">
        <x:v>سطح خواندن</x:v>
      </x:c>
      <x:c r="I4" s="21" t="str">
        <x:v>محدودیت</x:v>
      </x:c>
      <x:c r="J4" s="21" t="str">
        <x:v>نشانی ناشر/مقاله</x:v>
      </x:c>
    </x:row>
    <x:row r="5" ht="110" customHeight="1">
      <x:c r="A5" s="26" t="str">
        <x:v>PA001</x:v>
      </x:c>
      <x:c r="B5" s="26" t="str">
        <x:v>The Effect of Electronic Shelf Labels on Store Revenue</x:v>
      </x:c>
      <x:c r="C5" s="26" t="str">
        <x:v>بین‌المللی</x:v>
      </x:c>
      <x:c r="D5" s="26" t="str">
        <x:v>2020</x:v>
      </x:c>
      <x:c r="E5" s="26" t="str">
        <x:v>10.1080/10864415.2020.1806472</x:v>
      </x:c>
      <x:c r="F5" s="26" t="str">
        <x:v>مطالعه شبه‌تجربی تفاوت در تفاوت‌ها</x:v>
      </x:c>
      <x:c r="G5" s="26" t="str">
        <x:v>معرفی ESL بدون تغییر سیاست قیمت؛ فروش دسته‌های مجهز نسبت به دیگر دسته‌ها رشد کرده و بازدید تغییر نکرده است.</x:v>
      </x:c>
      <x:c r="H5" s="26" t="str">
        <x:v>چکیده ناشر و نمایه علمی خوانده شد؛ بازتولید اجرا نشده</x:v>
      </x:c>
      <x:c r="I5" s="26" t="str">
        <x:v>انتقال فروش میان دسته‌ها با رشد کل فروشگاه برابر نیست؛ تضمین ROI برای فامیلی نیست.</x:v>
      </x:c>
      <x:c r="J5" s="26" t="str">
        <x:v>https://www.tandfonline.com/doi/abs/10.1080/10864415.2020.1806472</x:v>
      </x:c>
    </x:row>
    <x:row r="6" ht="110" customHeight="1">
      <x:c r="A6" s="26" t="str">
        <x:v>PA002</x:v>
      </x:c>
      <x:c r="B6" s="26" t="str">
        <x:v>Smart Retail Using Electronic Shelf Label (ESL): From Customer Well-Being to Posttransaction Shopping Experience Across Gender</x:v>
      </x:c>
      <x:c r="C6" s="26" t="str">
        <x:v>بین‌المللی</x:v>
      </x:c>
      <x:c r="D6" s="26" t="str">
        <x:v>2025</x:v>
      </x:c>
      <x:c r="E6" s="26" t="str">
        <x:v>10.1155/hbe2/3237727</x:v>
      </x:c>
      <x:c r="F6" s="26" t="str">
        <x:v>پیمایش۳۰۵نفر و PLS-SEM</x:v>
      </x:c>
      <x:c r="G6" s="26" t="str">
        <x:v>روابط تجربه و رفاه مشتری در استفاده ESL بررسی شده است.</x:v>
      </x:c>
      <x:c r="H6" s="26" t="str">
        <x:v>متن/گزیده ناشر در جست‌وجو بررسی شد؛ بازتولید اجرا نشده</x:v>
      </x:c>
      <x:c r="I6" s="26" t="str">
        <x:v>پیمایش علّیت یا رشد فروش پس از نصب را ثابت نمی‌کند؛ دسته‌بندی جنسیتی به تشخیص از چهره تبدیل نشود.</x:v>
      </x:c>
      <x:c r="J6" s="26" t="str">
        <x:v>https://onlinelibrary.wiley.com/doi/full/10.1155/hbe2/3237727</x:v>
      </x:c>
    </x:row>
    <x:row r="7" ht="110" customHeight="1">
      <x:c r="A7" s="26" t="str">
        <x:v>PA003</x:v>
      </x:c>
      <x:c r="B7" s="26" t="str">
        <x:v>رویکرد ترکیبی پیش‌بینی تقاضای کانال همه‌جانبۀ یکپارچه با DTW و شبکه‌های عصبی</x:v>
      </x:c>
      <x:c r="C7" s="26" t="str">
        <x:v>ایران</x:v>
      </x:c>
      <x:c r="D7" s="26" t="str">
        <x:v>1402 / 2023</x:v>
      </x:c>
      <x:c r="E7" s="26" t="str">
        <x:v>10.22108/pom.2023.136202.1485</x:v>
      </x:c>
      <x:c r="F7" s="26" t="str">
        <x:v>مطالعه شرکت آرایشی و بهداشتی ناشناس؛۱۴۹۱محصول و ارزیابی تفصیلی۸قلم</x:v>
      </x:c>
      <x:c r="G7" s="26" t="str">
        <x:v>روش‌های NAR/NARX بعد از خوشه‌بندی با میانگین متحرک مقایسه شده‌اند؛ برتری مدل به قلم و معیار بستگی دارد.</x:v>
      </x:c>
      <x:c r="H7" s="26" t="str">
        <x:v>متن HTML مقاله خوانده شد؛ جدول‌ها و کد بازتولید نشده</x:v>
      </x:c>
      <x:c r="I7" s="26" t="str">
        <x:v>متن فارسی۳۱ماه دی۱۳۹۸–تیر۱۴۰۱ و چکیده انگلیسیFeb2020–Jun2022 می‌گوید؛ اختلاف زمانی حل نشده. روش تقسیم باید پیش از تعمیم زمانی ممیزی شود. هویت شرکت حدس زده نشده.</x:v>
      </x:c>
      <x:c r="J7" s="26" t="str">
        <x:v>https://jpom.ui.ac.ir/article_27478.html</x:v>
      </x:c>
    </x:row>
    <x:row r="8" ht="110" customHeight="1">
      <x:c r="A8" s="26" t="str">
        <x:v>PA004</x:v>
      </x:c>
      <x:c r="B8" s="26" t="str">
        <x:v>ارزیابی عملکرد موجودی مبتنی بر پیش‌بینی تقاضا با مدل شبکۀ عصبی MLP</x:v>
      </x:c>
      <x:c r="C8" s="26" t="str">
        <x:v>ایران</x:v>
      </x:c>
      <x:c r="D8" s="26" t="str">
        <x:v>احرازنشده</x:v>
      </x:c>
      <x:c r="E8" s="26" t="str">
        <x:v>در این ثبت استخراج نشده</x:v>
      </x:c>
      <x:c r="F8" s="26" t="str">
        <x:v>نامعلوم؛ سرنخ پژوهشی</x:v>
      </x:c>
      <x:c r="G8" s="26" t="str">
        <x:v>عنوان و اشاره به تقاضای خرده‌فروشی در نمایه دیده شد.</x:v>
      </x:c>
      <x:c r="H8" s="26" t="str">
        <x:v>سرنخ نمایه؛ اصل در دسترس نبود</x:v>
      </x:c>
      <x:c r="I8" s="26" t="str">
        <x:v>اصل بازیابی نشد؛ هیچ نتیجه کمی یا نام شرکت به آن منتسب نشده است.</x:v>
      </x:c>
      <x:c r="J8" s="26" t="str">
        <x:v>https://journals.iau.ir/article_677101.html</x:v>
      </x:c>
    </x:row>
    <x:row r="9" ht="110" customHeight="1">
      <x:c r="A9" s="26" t="str">
        <x:v>PA005</x:v>
      </x:c>
      <x:c r="B9" s="26" t="str">
        <x:v>شیفت باثبات؛ شاهد آزمایش میدانی</x:v>
      </x:c>
      <x:c r="C9" s="26" t="str">
        <x:v>بین‌المللی</x:v>
      </x:c>
      <x:c r="D9" s="26" t="str">
        <x:v>2022-03-02</x:v>
      </x:c>
      <x:c r="E9" s="26" t="str">
        <x:v>در این ثبت استخراج نشده</x:v>
      </x:c>
      <x:c r="F9" s="26" t="str">
        <x:v>مطالعه میدانی تصادفی؛ مقاله داوری‌شده</x:v>
      </x:c>
      <x:c r="G9" s="26" t="str">
        <x:v>آزمایش۲۸فروشگاه در۹ماه۲۰۱۵–۲۰۱۶، بسته‌ای از ثبات، پیش‌بینی‌پذیری و اختیار کارکنان در برنامه کاری را آزمود؛ مقاله۲۰۲۲ منتشر شد.</x:v>
      </x:c>
      <x:c r="H9" s="26" t="str">
        <x:v>پرونده پژوهش دور قبل حفظ و به این سبد مرتبط شده؛ متن کامل در این مرحله دوباره خوانده نشده</x:v>
      </x:c>
      <x:c r="I9" s="26" t="str">
        <x:v>اثرهای گزارش‌شده۵٫۱٪بهره‌وری و۳٫۳٪فروش مربوط به همان آزمایش چندجزئی‌اند، نه AI یا پیش‌بینی فامیلی.</x:v>
      </x:c>
      <x:c r="J9" s="26" t="str">
        <x:v>https://pubsonline.informs.org/doi/10.1287/mnsc.2021.4291</x:v>
      </x:c>
    </x:row>
    <x:row r="10" ht="110" customHeight="1">
      <x:c r="A10" s="26" t="str">
        <x:v>PA006</x:v>
      </x:c>
      <x:c r="B10" s="26" t="str">
        <x:v>هفت کاربرد GenAI؛ اثر مثبت و بی‌اثر</x:v>
      </x:c>
      <x:c r="C10" s="26" t="str">
        <x:v>بین‌المللی</x:v>
      </x:c>
      <x:c r="D10" s="26" t="str">
        <x:v>2026</x:v>
      </x:c>
      <x:c r="E10" s="26" t="str">
        <x:v>در این ثبت استخراج نشده</x:v>
      </x:c>
      <x:c r="F10" s="26" t="str">
        <x:v>مقاله کاری با آزمایش میدانی گزارش‌شده</x:v>
      </x:c>
      <x:c r="G10" s="26" t="str">
        <x:v>مقاله کاری۲۰۲۶ از آزمایش‌های۲۰۲۳–۲۰۲۴ در هفت جریان خدمت، تطبیق کالا، تبلیغ و خدمات فروشنده خبر می‌دهد؛ اثر فروش از نامشهود تا۱۶٫۳٪متفاوت است.</x:v>
      </x:c>
      <x:c r="H10" s="26" t="str">
        <x:v>پرونده پژوهش دور قبل حفظ و به این سبد مرتبط شده؛ متن کامل در این مرحله دوباره خوانده نشده</x:v>
      </x:c>
      <x:c r="I10" s="26" t="str">
        <x:v>مقاله کاری است؛ نام پلتفرم حدس زده نشده و۱۶٫۳٪به همه کاربردها یا ایران تعمیم ندارد؛ متن ضمایم کامل بررسی نشده.</x:v>
      </x:c>
      <x:c r="J10" s="26" t="str">
        <x:v>https://www.ifo.de/en/cesifo/publications/2026/working-paper/generative-ai-and-sales-productivity-field-experiments-online</x:v>
      </x:c>
    </x:row>
    <x:row r="11" ht="110" customHeight="1">
      <x:c r="A11" s="26" t="str">
        <x:v>PA007</x:v>
      </x:c>
      <x:c r="B11" s="26" t="str">
        <x:v>ساخت محیط سه‌بعدی فروشگاه برای آزمون ربات</x:v>
      </x:c>
      <x:c r="C11" s="26" t="str">
        <x:v>بین‌المللی</x:v>
      </x:c>
      <x:c r="D11" s="26" t="str">
        <x:v>2025-11-26</x:v>
      </x:c>
      <x:c r="E11" s="26" t="str">
        <x:v>در این ثبت استخراج نشده</x:v>
      </x:c>
      <x:c r="F11" s="26" t="str">
        <x:v>پیش‌چاپ و نمونه پژوهشی</x:v>
      </x:c>
      <x:c r="G11" s="26" t="str">
        <x:v>MarketGen ساخت صحنه سوپرمارکت از متن/تصویر و ارزیابی دو وظیفه برداشت و تخلیه صندوق را معرفی می‌کند.</x:v>
      </x:c>
      <x:c r="H11" s="26" t="str">
        <x:v>پرونده پژوهش دور قبل حفظ و به این سبد مرتبط شده؛ متن کامل در این مرحله دوباره خوانده نشده</x:v>
      </x:c>
      <x:c r="I11" s="26" t="str">
        <x:v>وجود انتقال محدود به واقعیت در مقاله، بهره‌برداری تجاری زنجیره‌ای یا بازده مالی را ثابت نمی‌کند.</x:v>
      </x:c>
      <x:c r="J11" s="26" t="str">
        <x:v>https://arxiv.org/abs/2511.21161</x:v>
      </x:c>
    </x:row>
    <x:row r="12" ht="110" customHeight="1">
      <x:c r="A12" s="26" t="str">
        <x:v>PA008</x:v>
      </x:c>
      <x:c r="B12" s="26" t="str">
        <x:v>آزمون مدیر فروشگاه عامل‌محور در شبیه‌ساز</x:v>
      </x:c>
      <x:c r="C12" s="26" t="str">
        <x:v>بین‌المللی</x:v>
      </x:c>
      <x:c r="D12" s="26" t="str">
        <x:v>2026-03-17؛ آخرین نسخه 2026-07-08</x:v>
      </x:c>
      <x:c r="E12" s="26" t="str">
        <x:v>در این ثبت استخراج نشده</x:v>
      </x:c>
      <x:c r="F12" s="26" t="str">
        <x:v>پیش‌چاپ و بنچمارک</x:v>
      </x:c>
      <x:c r="G12" s="26" t="str">
        <x:v>RetailBench تصمیم‌گیری بلندافق عامل‌های زبانی در محیط خرده‌فروشی شبیه‌سازی‌شده را بررسی می‌کند.</x:v>
      </x:c>
      <x:c r="H12" s="26" t="str">
        <x:v>پرونده پژوهش دور قبل حفظ و به این سبد مرتبط شده؛ متن کامل در این مرحله دوباره خوانده نشده</x:v>
      </x:c>
      <x:c r="I12" s="26" t="str">
        <x:v>سود/بقا در شبیه‌ساز با موفقیت مدیر شعبه واقعی برابر نیست؛ عامل دارای اطلاعات آینده با عامل عملیاتی قابل مقایسه ساده نیست. مدخل2606.15862 به‌دلیل ارسال تکراری پس گرفته شده؛ نسخه اصلی2603.16453v3 درمرجعSR072 ثبت است.</x:v>
      </x:c>
      <x:c r="J12" s="26" t="str">
        <x:v>https://arxiv.org/abs/2603.16453</x:v>
      </x:c>
    </x:row>
    <x:row r="13" ht="110" customHeight="1">
      <x:c r="A13" s="26" t="str">
        <x:v>PA009</x:v>
      </x:c>
      <x:c r="B13" s="26" t="str">
        <x:v>سوپرمارکت مجازی برای داده و آموزش عامل</x:v>
      </x:c>
      <x:c r="C13" s="26" t="str">
        <x:v>بین‌المللی</x:v>
      </x:c>
      <x:c r="D13" s="26" t="str">
        <x:v>2025-08-01</x:v>
      </x:c>
      <x:c r="E13" s="26" t="str">
        <x:v>در این ثبت استخراج نشده</x:v>
      </x:c>
      <x:c r="F13" s="26" t="str">
        <x:v>پیش‌چاپ و محیط پژوهشی</x:v>
      </x:c>
      <x:c r="G13" s="26" t="str">
        <x:v>Sari Sandbox محیط فروشگاهی مجازی، کالاها و تعامل انسان/عامل را برای پژوهش embodied AI فراهم می‌کند.</x:v>
      </x:c>
      <x:c r="H13" s="26" t="str">
        <x:v>پرونده پژوهش دور قبل حفظ و به این سبد مرتبط شده؛ متن کامل در این مرحله دوباره خوانده نشده</x:v>
      </x:c>
      <x:c r="I13" s="26" t="str">
        <x:v>این فروشگاه واقعی یا محصول بهره‌برداری‌شده نیست؛ کد، مجوز و بازتولید محلی دراین نوبت اجرا نشده‌اند.</x:v>
      </x:c>
      <x:c r="J13" s="26" t="str">
        <x:v>https://arxiv.org/abs/2508.00400</x:v>
      </x:c>
    </x:row>
    <x:row r="14" ht="110" customHeight="1">
      <x:c r="A14" s="26" t="str">
        <x:v>PA010</x:v>
      </x:c>
      <x:c r="B14" s="26" t="str">
        <x:v>شبیه‌سازی مسیر مشتری با مدل داده‌محور</x:v>
      </x:c>
      <x:c r="C14" s="26" t="str">
        <x:v>بین‌المللی</x:v>
      </x:c>
      <x:c r="D14" s="26" t="str">
        <x:v>2025-11-06</x:v>
      </x:c>
      <x:c r="E14" s="26" t="str">
        <x:v>در این ثبت استخراج نشده</x:v>
      </x:c>
      <x:c r="F14" s="26" t="str">
        <x:v>مقاله داوری‌شده</x:v>
      </x:c>
      <x:c r="G14" s="26" t="str">
        <x:v>مقاله Scientific Reports درنوامبر۲۰۲۵ تولید/پیش‌بینی مسیر مشتری با مدل تعامل‌محور را بررسی می‌کند.</x:v>
      </x:c>
      <x:c r="H14" s="26" t="str">
        <x:v>پرونده پژوهش دور قبل حفظ و به این سبد مرتبط شده؛ متن کامل در این مرحله دوباره خوانده نشده</x:v>
      </x:c>
      <x:c r="I14" s="26" t="str">
        <x:v>دقت مدل مسیر، دلیل افزایش فروش پس از تغییر چیدمان نیست؛ کیفیت و مجوز داده باید مستقل ارزیابی شود.</x:v>
      </x:c>
      <x:c r="J14" s="26" t="str">
        <x:v>https://www.nature.com/articles/s41598-025-22885-4</x:v>
      </x:c>
    </x:row>
  </x:sheetData>
  <x:mergeCells>
    <x:mergeCell ref="A1:J1"/>
    <x:mergeCell ref="A2:J2"/>
  </x:mergeCells>
  <x:pageMargins left="0.7" right="0.7" top="0.75" bottom="0.75" header="0.3" footer="0.3"/>
  <x:tableParts count="1">
    <x:tablePart xmlns:r="http://schemas.openxmlformats.org/officeDocument/2006/relationships" r:id="R9e4a4dfa43084c59"/>
  </x:tableParts>
</x:worksheet>
</file>

<file path=xl/worksheets/sheet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3" hidden="0" customWidth="1"/>
    <x:col min="2" max="2" width="38" hidden="0" customWidth="1"/>
    <x:col min="3" max="3" width="48" hidden="0" customWidth="1"/>
    <x:col min="4" max="4" width="76" hidden="0" customWidth="1"/>
    <x:col min="5" max="5" width="40" hidden="0" customWidth="1"/>
    <x:col min="6" max="6" width="49" hidden="0" customWidth="1"/>
    <x:col min="7" max="7" width="62" hidden="0" customWidth="1"/>
    <x:col min="8" max="8" width="20" hidden="0" customWidth="1"/>
  </x:cols>
  <x:sheetData>
    <x:row r="1" ht="34" customHeight="1">
      <x:c r="A1" s="9" t="str">
        <x:v>۱۵ مخزن فنی — شاهد کد و مجوز، نه محصول آماده</x:v>
      </x:c>
      <x:c r="B1" s="9"/>
      <x:c r="C1" s="9"/>
      <x:c r="D1" s="9"/>
      <x:c r="E1" s="9"/>
      <x:c r="F1" s="9"/>
      <x:c r="G1" s="9"/>
      <x:c r="H1" s="9"/>
    </x:row>
    <x:row r="2" ht="42" customHeight="1">
      <x:c r="A2" s="14" t="str">
        <x:v>صفحه رسمی مخزن خوانده شده؛ clone، نصب، اجرای کد و بنچمارک عملکرد انجام نشده است. هزینه یکپارچه‌سازی و حقوق نسخه/اجزا جدا بررسی شود.</x:v>
      </x:c>
      <x:c r="B2" s="14"/>
      <x:c r="C2" s="14"/>
      <x:c r="D2" s="14"/>
      <x:c r="E2" s="14"/>
      <x:c r="F2" s="14"/>
      <x:c r="G2" s="14"/>
      <x:c r="H2" s="14"/>
    </x:row>
    <x:row r="3">
      <x:c r="A3" s="6"/>
      <x:c r="B3" s="6"/>
      <x:c r="C3" s="6"/>
      <x:c r="D3" s="6"/>
      <x:c r="E3" s="6"/>
      <x:c r="F3" s="6"/>
      <x:c r="G3" s="6"/>
      <x:c r="H3" s="6"/>
    </x:row>
    <x:row r="4" ht="42" customHeight="1">
      <x:c r="A4" s="21" t="str">
        <x:v>شناسه</x:v>
      </x:c>
      <x:c r="B4" s="21" t="str">
        <x:v>مخزن</x:v>
      </x:c>
      <x:c r="C4" s="21" t="str">
        <x:v>کاربرد</x:v>
      </x:c>
      <x:c r="D4" s="21" t="str">
        <x:v>نکته نسخه و مجوز</x:v>
      </x:c>
      <x:c r="E4" s="21" t="str">
        <x:v>طرح‌های مرتبط</x:v>
      </x:c>
      <x:c r="F4" s="21" t="str">
        <x:v>سطح بررسی</x:v>
      </x:c>
      <x:c r="G4" s="21" t="str">
        <x:v>نشانی رسمی</x:v>
      </x:c>
      <x:c r="H4" s="21" t="str">
        <x:v>تاریخ بررسی</x:v>
      </x:c>
    </x:row>
    <x:row r="5" ht="100" customHeight="1">
      <x:c r="A5" s="26" t="str">
        <x:v>RP001</x:v>
      </x:c>
      <x:c r="B5" s="26" t="str">
        <x:v>OpenEPaperLink/OpenEPaperLink</x:v>
      </x:c>
      <x:c r="C5" s="26" t="str">
        <x:v>فرموِر و پروتکل برچسب کاغذ الکترونیکی</x:v>
      </x:c>
      <x:c r="D5" s="26" t="str">
        <x:v>شناسه کلی مجوز از نمایه روشن نیست؛ فایل LICENSE هر جزء باید بررسی شود</x:v>
      </x:c>
      <x:c r="E5" s="26" t="str">
        <x:v>esl</x:v>
      </x:c>
      <x:c r="F5" s="26" t="str">
        <x:v>صفحه رسمی مخزن خوانده شد؛ کد اجرا یا تست نشده</x:v>
      </x:c>
      <x:c r="G5" s="26" t="str">
        <x:v>https://github.com/OpenEPaperLink/OpenEPaperLink</x:v>
      </x:c>
      <x:c r="H5" s="58" t="n">
        <x:v>46311</x:v>
      </x:c>
    </x:row>
    <x:row r="6" ht="100" customHeight="1">
      <x:c r="A6" s="26" t="str">
        <x:v>RP002</x:v>
      </x:c>
      <x:c r="B6" s="26" t="str">
        <x:v>frappe/erpnext</x:v>
      </x:c>
      <x:c r="C6" s="26" t="str">
        <x:v>ERP، موجودی و عملیات</x:v>
      </x:c>
      <x:c r="D6" s="26" t="str">
        <x:v>GPL-3.0 در متادیتا؛ شرایط انتشار/افزونه باید بررسی شود</x:v>
      </x:c>
      <x:c r="E6" s="26" t="str">
        <x:v>stockroom؛ b2b؛ data</x:v>
      </x:c>
      <x:c r="F6" s="26" t="str">
        <x:v>صفحه رسمی مخزن خوانده شد؛ کد اجرا یا تست نشده</x:v>
      </x:c>
      <x:c r="G6" s="26" t="str">
        <x:v>https://github.com/frappe/erpnext</x:v>
      </x:c>
      <x:c r="H6" s="58" t="n">
        <x:v>46311</x:v>
      </x:c>
    </x:row>
    <x:row r="7" ht="100" customHeight="1">
      <x:c r="A7" s="26" t="str">
        <x:v>RP003</x:v>
      </x:c>
      <x:c r="B7" s="26" t="str">
        <x:v>apache/superset</x:v>
      </x:c>
      <x:c r="C7" s="26" t="str">
        <x:v>داشبورد و کاوش داده</x:v>
      </x:c>
      <x:c r="D7" s="26" t="str">
        <x:v>Apache-2.0 در متادیتا؛ وابستگی‌ها جدا</x:v>
      </x:c>
      <x:c r="E7" s="26" t="str">
        <x:v>manager؛ skills</x:v>
      </x:c>
      <x:c r="F7" s="26" t="str">
        <x:v>صفحه رسمی مخزن خوانده شد؛ کد اجرا یا تست نشده</x:v>
      </x:c>
      <x:c r="G7" s="26" t="str">
        <x:v>https://github.com/apache/superset</x:v>
      </x:c>
      <x:c r="H7" s="58" t="n">
        <x:v>46311</x:v>
      </x:c>
    </x:row>
    <x:row r="8" ht="100" customHeight="1">
      <x:c r="A8" s="26" t="str">
        <x:v>RP004</x:v>
      </x:c>
      <x:c r="B8" s="26" t="str">
        <x:v>thingsboard/thingsboard</x:v>
      </x:c>
      <x:c r="C8" s="26" t="str">
        <x:v>پایش و مدیریت IoT</x:v>
      </x:c>
      <x:c r="D8" s="26" t="str">
        <x:v>از۴٫۴ BUSL-1.1 با Additional Use Grant؛ نسخه‌های پیش از۴٫۴ Apache-2.0؛ محدودیت تولید/برندینگ باید بررسی شود</x:v>
      </x:c>
      <x:c r="E8" s="26" t="str">
        <x:v>energy؛ coldchain؛ water؛ refill</x:v>
      </x:c>
      <x:c r="F8" s="26" t="str">
        <x:v>صفحه رسمی مخزن خوانده شد؛ کد اجرا یا تست نشده</x:v>
      </x:c>
      <x:c r="G8" s="26" t="str">
        <x:v>https://github.com/thingsboard/thingsboard</x:v>
      </x:c>
      <x:c r="H8" s="58" t="n">
        <x:v>46311</x:v>
      </x:c>
    </x:row>
    <x:row r="9" ht="100" customHeight="1">
      <x:c r="A9" s="26" t="str">
        <x:v>RP005</x:v>
      </x:c>
      <x:c r="B9" s="26" t="str">
        <x:v>google/or-tools</x:v>
      </x:c>
      <x:c r="C9" s="26" t="str">
        <x:v>حل قیود، تخصیص و مسیر</x:v>
      </x:c>
      <x:c r="D9" s="26" t="str">
        <x:v>Apache-2.0 در متادیتا؛ مدل قیود را باید خود طراحی کرد</x:v>
      </x:c>
      <x:c r="E9" s="26" t="str">
        <x:v>routing؛ shift؛ stockroom</x:v>
      </x:c>
      <x:c r="F9" s="26" t="str">
        <x:v>صفحه رسمی مخزن خوانده شد؛ کد اجرا یا تست نشده</x:v>
      </x:c>
      <x:c r="G9" s="26" t="str">
        <x:v>https://github.com/google/or-tools</x:v>
      </x:c>
      <x:c r="H9" s="58" t="n">
        <x:v>46311</x:v>
      </x:c>
    </x:row>
    <x:row r="10" ht="100" customHeight="1">
      <x:c r="A10" s="26" t="str">
        <x:v>RP006</x:v>
      </x:c>
      <x:c r="B10" s="26" t="str">
        <x:v>lightgbm-org/LightGBM</x:v>
      </x:c>
      <x:c r="C10" s="26" t="str">
        <x:v>مدل درختی برای پیش‌بینی/رتبه‌بندی</x:v>
      </x:c>
      <x:c r="D10" s="26" t="str">
        <x:v>MIT طبق README؛ مسیر قدیمی microsoft/LightGBM اکنون ریدایرکت می‌شود</x:v>
      </x:c>
      <x:c r="E10" s="26" t="str">
        <x:v>forecast؛ expiry؛ budget</x:v>
      </x:c>
      <x:c r="F10" s="26" t="str">
        <x:v>صفحه رسمی مخزن خوانده شد؛ کد اجرا یا تست نشده</x:v>
      </x:c>
      <x:c r="G10" s="26" t="str">
        <x:v>https://github.com/lightgbm-org/LightGBM</x:v>
      </x:c>
      <x:c r="H10" s="58" t="n">
        <x:v>46311</x:v>
      </x:c>
    </x:row>
    <x:row r="11" ht="100" customHeight="1">
      <x:c r="A11" s="26" t="str">
        <x:v>RP007</x:v>
      </x:c>
      <x:c r="B11" s="26" t="str">
        <x:v>Nixtla/statsforecast</x:v>
      </x:c>
      <x:c r="C11" s="26" t="str">
        <x:v>خط پایه و مدل آماری سری زمانی</x:v>
      </x:c>
      <x:c r="D11" s="26" t="str">
        <x:v>Apache-2.0 در متادیتا</x:v>
      </x:c>
      <x:c r="E11" s="26" t="str">
        <x:v>forecast</x:v>
      </x:c>
      <x:c r="F11" s="26" t="str">
        <x:v>صفحه رسمی مخزن خوانده شد؛ کد اجرا یا تست نشده</x:v>
      </x:c>
      <x:c r="G11" s="26" t="str">
        <x:v>https://github.com/Nixtla/statsforecast</x:v>
      </x:c>
      <x:c r="H11" s="58" t="n">
        <x:v>46311</x:v>
      </x:c>
    </x:row>
    <x:row r="12" ht="100" customHeight="1">
      <x:c r="A12" s="26" t="str">
        <x:v>RP008</x:v>
      </x:c>
      <x:c r="B12" s="26" t="str">
        <x:v>deepset-ai/haystack</x:v>
      </x:c>
      <x:c r="C12" s="26" t="str">
        <x:v>جست‌وجو و گردش RAG</x:v>
      </x:c>
      <x:c r="D12" s="26" t="str">
        <x:v>Apache-2.0 در متادیتا؛ مدل و سرویس وصل‌شده مجوز/هزینه جدا دارند</x:v>
      </x:c>
      <x:c r="E12" s="26" t="str">
        <x:v>sop؛ contracts؛ budget</x:v>
      </x:c>
      <x:c r="F12" s="26" t="str">
        <x:v>صفحه رسمی مخزن خوانده شد؛ کد اجرا یا تست نشده</x:v>
      </x:c>
      <x:c r="G12" s="26" t="str">
        <x:v>https://github.com/deepset-ai/haystack</x:v>
      </x:c>
      <x:c r="H12" s="58" t="n">
        <x:v>46311</x:v>
      </x:c>
    </x:row>
    <x:row r="13" ht="100" customHeight="1">
      <x:c r="A13" s="26" t="str">
        <x:v>RP009</x:v>
      </x:c>
      <x:c r="B13" s="26" t="str">
        <x:v>qdrant/qdrant</x:v>
      </x:c>
      <x:c r="C13" s="26" t="str">
        <x:v>بازیابی برداری</x:v>
      </x:c>
      <x:c r="D13" s="26" t="str">
        <x:v>Apache-2.0 در متادیتا؛ نسخه Cloud هزینه جدا</x:v>
      </x:c>
      <x:c r="E13" s="26" t="str">
        <x:v>sop؛ budget</x:v>
      </x:c>
      <x:c r="F13" s="26" t="str">
        <x:v>صفحه رسمی مخزن خوانده شد؛ کد اجرا یا تست نشده</x:v>
      </x:c>
      <x:c r="G13" s="26" t="str">
        <x:v>https://github.com/qdrant/qdrant</x:v>
      </x:c>
      <x:c r="H13" s="58" t="n">
        <x:v>46311</x:v>
      </x:c>
    </x:row>
    <x:row r="14" ht="100" customHeight="1">
      <x:c r="A14" s="26" t="str">
        <x:v>RP010</x:v>
      </x:c>
      <x:c r="B14" s="26" t="str">
        <x:v>moodle/moodle</x:v>
      </x:c>
      <x:c r="C14" s="26" t="str">
        <x:v>سامانه آموزش</x:v>
      </x:c>
      <x:c r="D14" s="26" t="str">
        <x:v>GPL-3.0 در متادیتا؛ محتوای آموزشی جدا</x:v>
      </x:c>
      <x:c r="E14" s="26" t="str">
        <x:v>onboarding</x:v>
      </x:c>
      <x:c r="F14" s="26" t="str">
        <x:v>صفحه رسمی مخزن خوانده شد؛ کد اجرا یا تست نشده</x:v>
      </x:c>
      <x:c r="G14" s="26" t="str">
        <x:v>https://github.com/moodle/moodle</x:v>
      </x:c>
      <x:c r="H14" s="58" t="n">
        <x:v>46311</x:v>
      </x:c>
    </x:row>
    <x:row r="15" ht="100" customHeight="1">
      <x:c r="A15" s="26" t="str">
        <x:v>RP011</x:v>
      </x:c>
      <x:c r="B15" s="26" t="str">
        <x:v>chatwoot/chatwoot</x:v>
      </x:c>
      <x:c r="C15" s="26" t="str">
        <x:v>میزخدمت و گفت‌وگو</x:v>
      </x:c>
      <x:c r="D15" s="26" t="str">
        <x:v>هسته و پوشه Enterprise باید جدا بررسی شوند؛ قیمت Cloud به مجوز خودمیزبان تعمیم ندارد</x:v>
      </x:c>
      <x:c r="E15" s="26" t="str">
        <x:v>returns؛ hrservice</x:v>
      </x:c>
      <x:c r="F15" s="26" t="str">
        <x:v>صفحه رسمی مخزن خوانده شد؛ کد اجرا یا تست نشده</x:v>
      </x:c>
      <x:c r="G15" s="26" t="str">
        <x:v>https://github.com/chatwoot/chatwoot</x:v>
      </x:c>
      <x:c r="H15" s="58" t="n">
        <x:v>46311</x:v>
      </x:c>
    </x:row>
    <x:row r="16" ht="100" customHeight="1">
      <x:c r="A16" s="26" t="str">
        <x:v>RP012</x:v>
      </x:c>
      <x:c r="B16" s="26" t="str">
        <x:v>xibosignage/xibo-cms</x:v>
      </x:c>
      <x:c r="C16" s="26" t="str">
        <x:v>CMS ساینیج</x:v>
      </x:c>
      <x:c r="D16" s="26" t="str">
        <x:v>AGPL-3.0-or-later طبق README؛ پلیرهای تجاری و میزبانی جدا</x:v>
      </x:c>
      <x:c r="E16" s="26" t="str">
        <x:v>signage</x:v>
      </x:c>
      <x:c r="F16" s="26" t="str">
        <x:v>صفحه رسمی مخزن خوانده شد؛ کد اجرا یا تست نشده</x:v>
      </x:c>
      <x:c r="G16" s="26" t="str">
        <x:v>https://github.com/xibosignage/xibo-cms</x:v>
      </x:c>
      <x:c r="H16" s="58" t="n">
        <x:v>46311</x:v>
      </x:c>
    </x:row>
    <x:row r="17" ht="100" customHeight="1">
      <x:c r="A17" s="26" t="str">
        <x:v>RP013</x:v>
      </x:c>
      <x:c r="B17" s="26" t="str">
        <x:v>ultralytics/ultralytics</x:v>
      </x:c>
      <x:c r="C17" s="26" t="str">
        <x:v>بینایی ماشین و تشخیص اشیا</x:v>
      </x:c>
      <x:c r="D17" s="26" t="str">
        <x:v>گزینه‌های AGPL/Enterprise باید با نسخه و شکل توزیع بررسی شوند؛ رایگان بی‌قید نیست</x:v>
      </x:c>
      <x:c r="E17" s="26" t="str">
        <x:v>shelf؛ queue؛ safety؛ visionscale</x:v>
      </x:c>
      <x:c r="F17" s="26" t="str">
        <x:v>صفحه رسمی مخزن خوانده شد؛ کد اجرا یا تست نشده</x:v>
      </x:c>
      <x:c r="G17" s="26" t="str">
        <x:v>https://github.com/ultralytics/ultralytics</x:v>
      </x:c>
      <x:c r="H17" s="58" t="n">
        <x:v>46311</x:v>
      </x:c>
    </x:row>
    <x:row r="18" ht="100" customHeight="1">
      <x:c r="A18" s="26" t="str">
        <x:v>RP014</x:v>
      </x:c>
      <x:c r="B18" s="26" t="str">
        <x:v>frappe/hrms</x:v>
      </x:c>
      <x:c r="C18" s="26" t="str">
        <x:v>منابع انسانی و حقوق</x:v>
      </x:c>
      <x:c r="D18" s="26" t="str">
        <x:v>مجوز/بومی‌سازی حقوق و مقررات ایران نیازمند بررسی نسخه؛ نام محصول گواهی انطباق نیست</x:v>
      </x:c>
      <x:c r="E18" s="26" t="str">
        <x:v>hrservice؛ skills؛ hiring</x:v>
      </x:c>
      <x:c r="F18" s="26" t="str">
        <x:v>صفحه رسمی مخزن خوانده شد؛ کد اجرا یا تست نشده</x:v>
      </x:c>
      <x:c r="G18" s="26" t="str">
        <x:v>https://github.com/frappe/hrms</x:v>
      </x:c>
      <x:c r="H18" s="58" t="n">
        <x:v>46311</x:v>
      </x:c>
    </x:row>
    <x:row r="19" ht="100" customHeight="1">
      <x:c r="A19" s="26" t="str">
        <x:v>RP015</x:v>
      </x:c>
      <x:c r="B19" s="26" t="str">
        <x:v>process-intelligence-solutions/pm4py</x:v>
      </x:c>
      <x:c r="C19" s="26" t="str">
        <x:v>فرایندکاوی</x:v>
      </x:c>
      <x:c r="D19" s="26" t="str">
        <x:v>AGPL-3.0 و گزینه تجاری طبق README؛ مسیر قدیمی pm4py-core ریدایرکت می‌شود</x:v>
      </x:c>
      <x:c r="E19" s="26" t="str">
        <x:v>manager؛ stockroom</x:v>
      </x:c>
      <x:c r="F19" s="26" t="str">
        <x:v>صفحه رسمی مخزن خوانده شد؛ کد اجرا یا تست نشده</x:v>
      </x:c>
      <x:c r="G19" s="26" t="str">
        <x:v>https://github.com/process-intelligence-solutions/pm4py</x:v>
      </x:c>
      <x:c r="H19" s="58" t="n">
        <x:v>46311</x:v>
      </x:c>
    </x:row>
  </x:sheetData>
  <x:mergeCells>
    <x:mergeCell ref="A1:H1"/>
    <x:mergeCell ref="A2:H2"/>
  </x:mergeCells>
  <x:pageMargins left="0.7" right="0.7" top="0.75" bottom="0.75" header="0.3" footer="0.3"/>
  <x:tableParts count="1">
    <x:tablePart xmlns:r="http://schemas.openxmlformats.org/officeDocument/2006/relationships" r:id="R78b97f5dda934bce"/>
  </x:tableParts>
</x:worksheet>
</file>